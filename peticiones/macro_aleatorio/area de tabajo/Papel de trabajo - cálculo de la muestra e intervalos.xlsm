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Adminsena\Downloads\"/>
    </mc:Choice>
  </mc:AlternateContent>
  <xr:revisionPtr revIDLastSave="0" documentId="13_ncr:1_{E18CD435-8255-4168-87E5-5619D7CCD9AE}" xr6:coauthVersionLast="47" xr6:coauthVersionMax="47" xr10:uidLastSave="{00000000-0000-0000-0000-000000000000}"/>
  <bookViews>
    <workbookView xWindow="-108" yWindow="-108" windowWidth="23256" windowHeight="13896" firstSheet="2" activeTab="2" xr2:uid="{4C5DC086-C532-4486-A58E-67C593D36460}"/>
  </bookViews>
  <sheets>
    <sheet name="Cálculo muestra" sheetId="2" r:id="rId1"/>
    <sheet name="Población inventario" sheetId="12" r:id="rId2"/>
    <sheet name="Intervalo inventario " sheetId="10" r:id="rId3"/>
    <sheet name="Población contratación" sheetId="1" r:id="rId4"/>
    <sheet name="Intervalo contratación" sheetId="11" r:id="rId5"/>
    <sheet name="Intervalo contratación (2)" sheetId="13" r:id="rId6"/>
  </sheets>
  <definedNames>
    <definedName name="_xleta.EXP" hidden="1" xlm="1">#NAME?</definedName>
    <definedName name="_xleta.N" hidden="1" xlm="1">#NAME?</definedName>
    <definedName name="_xleta.OR" hidden="1" xlm="1">#NAME?</definedName>
    <definedName name="_xleta.RAND" hidden="1" xlm="1">#NAME?</definedName>
    <definedName name="_xlnm.Print_Area" localSheetId="4">'Intervalo contratación'!$A$1:$D$47</definedName>
    <definedName name="_xlnm.Print_Area" localSheetId="5">'Intervalo contratación (2)'!$A$1:$D$47</definedName>
    <definedName name="_xlnm.Print_Area" localSheetId="2">'Intervalo inventario '!$A$1:$E$47</definedName>
    <definedName name="OLE_LINK2" localSheetId="0">'Cálculo muestra'!$A$23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10" l="1"/>
  <c r="D8" i="13"/>
  <c r="C9" i="13"/>
  <c r="C11" i="13"/>
  <c r="C13" i="13"/>
  <c r="C15" i="13"/>
  <c r="C17" i="13"/>
  <c r="C19" i="13"/>
  <c r="C21" i="13"/>
  <c r="C23" i="13"/>
  <c r="C25" i="13"/>
  <c r="D47" i="13"/>
  <c r="C47" i="13"/>
  <c r="D46" i="13"/>
  <c r="C46" i="13"/>
  <c r="D45" i="13"/>
  <c r="C45" i="13"/>
  <c r="D44" i="13"/>
  <c r="C44" i="13"/>
  <c r="D43" i="13"/>
  <c r="C43" i="13"/>
  <c r="D42" i="13"/>
  <c r="C42" i="13"/>
  <c r="D41" i="13"/>
  <c r="C41" i="13"/>
  <c r="D40" i="13"/>
  <c r="C40" i="13"/>
  <c r="D39" i="13"/>
  <c r="C39" i="13"/>
  <c r="D38" i="13"/>
  <c r="C38" i="13"/>
  <c r="D37" i="13"/>
  <c r="C37" i="13"/>
  <c r="D36" i="13"/>
  <c r="C36" i="13"/>
  <c r="D35" i="13"/>
  <c r="C35" i="13"/>
  <c r="D34" i="13"/>
  <c r="C34" i="13"/>
  <c r="D33" i="13"/>
  <c r="C33" i="13"/>
  <c r="D32" i="13"/>
  <c r="C32" i="13"/>
  <c r="D31" i="13"/>
  <c r="C31" i="13"/>
  <c r="D30" i="13"/>
  <c r="C30" i="13"/>
  <c r="D29" i="13"/>
  <c r="C29" i="13"/>
  <c r="D28" i="13"/>
  <c r="C28" i="13"/>
  <c r="D27" i="13"/>
  <c r="C27" i="13"/>
  <c r="D25" i="13"/>
  <c r="D23" i="13"/>
  <c r="D21" i="13"/>
  <c r="D19" i="13"/>
  <c r="D17" i="13"/>
  <c r="D15" i="13"/>
  <c r="D13" i="13"/>
  <c r="D11" i="13"/>
  <c r="D9" i="13"/>
  <c r="B4" i="13"/>
  <c r="D2" i="13"/>
  <c r="D47" i="11"/>
  <c r="C47" i="11"/>
  <c r="D46" i="11"/>
  <c r="C46" i="11"/>
  <c r="D45" i="11"/>
  <c r="C45" i="11"/>
  <c r="D44" i="11"/>
  <c r="C44" i="11"/>
  <c r="D43" i="11"/>
  <c r="C43" i="11"/>
  <c r="D42" i="11"/>
  <c r="C42" i="11"/>
  <c r="D41" i="11"/>
  <c r="C41" i="11"/>
  <c r="D40" i="11"/>
  <c r="C40" i="11"/>
  <c r="D39" i="11"/>
  <c r="C39" i="11"/>
  <c r="D38" i="11"/>
  <c r="C38" i="11"/>
  <c r="D37" i="11"/>
  <c r="C37" i="11"/>
  <c r="D36" i="11"/>
  <c r="C36" i="11"/>
  <c r="D35" i="11"/>
  <c r="C35" i="11"/>
  <c r="D34" i="11"/>
  <c r="C34" i="11"/>
  <c r="D33" i="11"/>
  <c r="C33" i="11"/>
  <c r="D32" i="11"/>
  <c r="C32" i="11"/>
  <c r="D31" i="11"/>
  <c r="C31" i="11"/>
  <c r="D30" i="11"/>
  <c r="C30" i="11"/>
  <c r="D29" i="11"/>
  <c r="C29" i="11"/>
  <c r="D28" i="11"/>
  <c r="C28" i="11"/>
  <c r="D27" i="11"/>
  <c r="C27" i="11"/>
  <c r="B4" i="11"/>
  <c r="D2" i="11"/>
  <c r="D2" i="10"/>
  <c r="C30" i="10" l="1"/>
  <c r="D40" i="10"/>
  <c r="C33" i="10"/>
  <c r="C41" i="10"/>
  <c r="C45" i="10"/>
  <c r="D31" i="10"/>
  <c r="D47" i="10"/>
  <c r="C44" i="10"/>
  <c r="D34" i="10"/>
  <c r="C43" i="10"/>
  <c r="D27" i="10"/>
  <c r="D38" i="10"/>
  <c r="C40" i="10"/>
  <c r="D39" i="10"/>
  <c r="D37" i="10"/>
  <c r="D35" i="10"/>
  <c r="D29" i="10"/>
  <c r="C27" i="10"/>
  <c r="C35" i="10"/>
  <c r="C47" i="10"/>
  <c r="D43" i="10"/>
  <c r="C39" i="10"/>
  <c r="C42" i="10"/>
  <c r="D42" i="10"/>
  <c r="C34" i="10"/>
  <c r="D44" i="10"/>
  <c r="C36" i="10"/>
  <c r="D36" i="10"/>
  <c r="C28" i="10"/>
  <c r="D28" i="10"/>
  <c r="C46" i="10"/>
  <c r="D46" i="10"/>
  <c r="C38" i="10"/>
  <c r="C32" i="10"/>
  <c r="D32" i="10"/>
  <c r="D45" i="10"/>
  <c r="D41" i="10"/>
  <c r="C37" i="10"/>
  <c r="C29" i="10"/>
  <c r="C8" i="13"/>
  <c r="D7" i="13"/>
  <c r="C7" i="13"/>
  <c r="B5" i="13"/>
  <c r="D13" i="11"/>
  <c r="C13" i="11"/>
  <c r="C25" i="11"/>
  <c r="C7" i="11"/>
  <c r="D26" i="11"/>
  <c r="C26" i="11"/>
  <c r="D20" i="11"/>
  <c r="C20" i="11"/>
  <c r="D14" i="11"/>
  <c r="C14" i="11"/>
  <c r="D18" i="11"/>
  <c r="C18" i="11"/>
  <c r="C10" i="11"/>
  <c r="D10" i="11"/>
  <c r="D12" i="11"/>
  <c r="C12" i="11"/>
  <c r="D22" i="11"/>
  <c r="C22" i="11"/>
  <c r="D24" i="11"/>
  <c r="C24" i="11"/>
  <c r="D16" i="11"/>
  <c r="C16" i="11"/>
  <c r="D8" i="11"/>
  <c r="C8" i="11"/>
  <c r="D25" i="11"/>
  <c r="D7" i="11"/>
  <c r="B5" i="11"/>
  <c r="B5" i="10"/>
  <c r="D30" i="10" l="1"/>
  <c r="C31" i="10"/>
  <c r="D33" i="10"/>
  <c r="D14" i="13"/>
  <c r="C14" i="13"/>
  <c r="D22" i="13"/>
  <c r="C22" i="13"/>
  <c r="D16" i="13"/>
  <c r="C16" i="13"/>
  <c r="D24" i="13"/>
  <c r="C24" i="13"/>
  <c r="D10" i="13"/>
  <c r="C10" i="13"/>
  <c r="D18" i="13"/>
  <c r="C18" i="13"/>
  <c r="D26" i="13"/>
  <c r="C26" i="13"/>
  <c r="D12" i="13"/>
  <c r="C12" i="13"/>
  <c r="D20" i="13"/>
  <c r="C20" i="13"/>
  <c r="C11" i="11"/>
  <c r="D11" i="11"/>
  <c r="C23" i="11"/>
  <c r="D23" i="11"/>
  <c r="D15" i="11"/>
  <c r="C15" i="11"/>
  <c r="C17" i="11"/>
  <c r="D17" i="11"/>
  <c r="C19" i="11"/>
  <c r="D19" i="11"/>
  <c r="C9" i="11"/>
  <c r="D9" i="11"/>
  <c r="D21" i="11"/>
  <c r="C21" i="11"/>
  <c r="B18" i="2" l="1"/>
  <c r="D15" i="2" s="1"/>
  <c r="D17" i="2" s="1"/>
  <c r="D13" i="10" l="1"/>
  <c r="C13" i="10"/>
  <c r="C21" i="10"/>
  <c r="D21" i="10"/>
  <c r="C17" i="10"/>
  <c r="D17" i="10"/>
  <c r="C20" i="10"/>
  <c r="D20" i="10"/>
  <c r="D12" i="10"/>
  <c r="C12" i="10"/>
  <c r="D16" i="10"/>
  <c r="C16" i="10"/>
  <c r="C19" i="10"/>
  <c r="D19" i="10"/>
  <c r="C23" i="10"/>
  <c r="D23" i="10"/>
  <c r="C15" i="10"/>
  <c r="D15" i="10"/>
  <c r="D26" i="10"/>
  <c r="C26" i="10"/>
  <c r="D18" i="10"/>
  <c r="C18" i="10"/>
  <c r="C24" i="10"/>
  <c r="D24" i="10"/>
  <c r="C22" i="10"/>
  <c r="D22" i="10"/>
  <c r="C14" i="10"/>
  <c r="D14" i="10"/>
  <c r="D25" i="10"/>
  <c r="C25" i="10"/>
  <c r="D11" i="10"/>
  <c r="C11" i="10"/>
  <c r="D8" i="10"/>
  <c r="C8" i="10"/>
  <c r="C9" i="10"/>
  <c r="D9" i="10"/>
  <c r="C7" i="10"/>
  <c r="D7" i="10"/>
  <c r="D10" i="10"/>
  <c r="C1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 de Windows</author>
    <author>Fernando Aurelio Avila Castro</author>
  </authors>
  <commentList>
    <comment ref="B14" authorId="0" shapeId="0" xr:uid="{CE2D6B35-6674-44B8-B651-4E9316E0EFB6}">
      <text>
        <r>
          <rPr>
            <b/>
            <sz val="9"/>
            <color indexed="81"/>
            <rFont val="Tahoma"/>
            <family val="2"/>
          </rPr>
          <t>Nota:</t>
        </r>
        <r>
          <rPr>
            <sz val="9"/>
            <color indexed="81"/>
            <rFont val="Tahoma"/>
            <family val="2"/>
          </rPr>
          <t xml:space="preserve"> Introduzca el tamaño o universo de la población objeto de cálculo (total de contratos, comprobantes, transacciones, órdenes de compra, etc). 
</t>
        </r>
        <r>
          <rPr>
            <b/>
            <sz val="9"/>
            <color indexed="81"/>
            <rFont val="Tahoma"/>
            <family val="2"/>
          </rPr>
          <t>Números enteros.</t>
        </r>
      </text>
    </comment>
    <comment ref="B15" authorId="0" shapeId="0" xr:uid="{E0A020E5-6EC2-4389-BD9B-E542A5772E4F}">
      <text>
        <r>
          <rPr>
            <b/>
            <sz val="9"/>
            <color indexed="81"/>
            <rFont val="Tahoma"/>
            <family val="2"/>
          </rPr>
          <t>Nota:</t>
        </r>
        <r>
          <rPr>
            <sz val="9"/>
            <color indexed="81"/>
            <rFont val="Tahoma"/>
            <family val="2"/>
          </rPr>
          <t xml:space="preserve"> Escoja el error de muestreo que Usted acepta cometer </t>
        </r>
        <r>
          <rPr>
            <b/>
            <sz val="9"/>
            <color indexed="81"/>
            <rFont val="Tahoma"/>
            <family val="2"/>
          </rPr>
          <t>(digite números enteros entre 1% y máximo 10%)</t>
        </r>
        <r>
          <rPr>
            <sz val="9"/>
            <color indexed="81"/>
            <rFont val="Tahoma"/>
            <family val="2"/>
          </rPr>
          <t xml:space="preserve">. El auditor debe tener en cuenta que este es el error que va a asumir en la selección de la muestra, es decir, si asume solo el 1% de error, la muestra será mas grande; si escoge el 10% la muestra será más pequeña, pero asume un mayor riesgo de auditoría. Se sugiere utilizar el 5%.
Diferencia entre los estadísticos obtenidos de una muestra y los parámetros de la población.
</t>
        </r>
        <r>
          <rPr>
            <b/>
            <sz val="9"/>
            <color indexed="81"/>
            <rFont val="Tahoma"/>
            <family val="2"/>
          </rPr>
          <t>Se produce cuando la muestra elegida para representar a una población no es representativa o no es lo suficientemente grande.</t>
        </r>
      </text>
    </comment>
    <comment ref="B16" authorId="0" shapeId="0" xr:uid="{7C9EB49D-1B05-4695-A4F6-5D0B844A6441}">
      <text>
        <r>
          <rPr>
            <b/>
            <sz val="9"/>
            <color indexed="81"/>
            <rFont val="Tahoma"/>
            <family val="2"/>
          </rPr>
          <t>Corresponde al % de elementos de la población que estima NO cumplen con el REQUISITO que se está probando.
Ejemplo:</t>
        </r>
        <r>
          <rPr>
            <sz val="9"/>
            <color indexed="81"/>
            <rFont val="Tahoma"/>
            <family val="2"/>
          </rPr>
          <t xml:space="preserve"> Si se quiere estimar el % de contratos que no cuentan con acta de inicio, debe investigar si en una auditoría anterior se cuenta con este porcentaje; en caso afirmativo utilice este valor como una estimación de P; en caso contrario seleccione una muestra piloto de por lo menos 30 contratos y de estos determine cuantos no cuentan con acta de incio (ej 5). </t>
        </r>
        <r>
          <rPr>
            <b/>
            <sz val="9"/>
            <color indexed="81"/>
            <rFont val="Tahoma"/>
            <family val="2"/>
          </rPr>
          <t>El valor de p</t>
        </r>
        <r>
          <rPr>
            <sz val="9"/>
            <color indexed="81"/>
            <rFont val="Tahoma"/>
            <family val="2"/>
          </rPr>
          <t xml:space="preserve"> será igual al Nº de contratos sin acta de incio divido por 30; esto es: </t>
        </r>
        <r>
          <rPr>
            <b/>
            <sz val="9"/>
            <color indexed="81"/>
            <rFont val="Tahoma"/>
            <family val="2"/>
          </rPr>
          <t xml:space="preserve">p= </t>
        </r>
        <r>
          <rPr>
            <sz val="9"/>
            <color indexed="81"/>
            <rFont val="Tahoma"/>
            <family val="2"/>
          </rPr>
          <t xml:space="preserve">5/30=0,167.
</t>
        </r>
        <r>
          <rPr>
            <b/>
            <sz val="9"/>
            <color indexed="81"/>
            <rFont val="Tahoma"/>
            <family val="2"/>
          </rPr>
          <t>Ejemplo en una moneda:</t>
        </r>
        <r>
          <rPr>
            <sz val="9"/>
            <color indexed="81"/>
            <rFont val="Tahoma"/>
            <family val="2"/>
          </rPr>
          <t xml:space="preserve"> (número de resultados favorables) / (número total de posibles resultados).
La probabilidad de éxito en cada lanzamiento es p = 0.5, ya que se trata de una moneda y la probabilidad de obtener cara o cruz.
</t>
        </r>
      </text>
    </comment>
    <comment ref="B17" authorId="1" shapeId="0" xr:uid="{C01EF461-1E0D-4147-AECA-156ED8DF76EB}">
      <text>
        <r>
          <rPr>
            <sz val="9"/>
            <color indexed="81"/>
            <rFont val="Tahoma"/>
            <family val="2"/>
          </rPr>
          <t xml:space="preserve">Es la probabilidad de que un intervalo de confianza incluya el valor verdadero de la población. Se expresa en porcentaje, por ejemplo, 95%. Un nivel de confianza del 95% significa que en 95 de 100 muestras, el intervalo de confianza contendrá el valor verdadero.
</t>
        </r>
      </text>
    </comment>
  </commentList>
</comments>
</file>

<file path=xl/sharedStrings.xml><?xml version="1.0" encoding="utf-8"?>
<sst xmlns="http://schemas.openxmlformats.org/spreadsheetml/2006/main" count="376" uniqueCount="283">
  <si>
    <t>Item</t>
  </si>
  <si>
    <t xml:space="preserve">CÁLCULO DE LA MUESTRA </t>
  </si>
  <si>
    <t>AUDITORÍA:</t>
  </si>
  <si>
    <t>Muestreo Aleatorio Simple para estimar la proporción de una población</t>
  </si>
  <si>
    <t>Proceso</t>
  </si>
  <si>
    <r>
      <rPr>
        <b/>
        <sz val="9"/>
        <rFont val="Arial"/>
        <family val="2"/>
      </rPr>
      <t>Sujeto ó Punto de Control</t>
    </r>
    <r>
      <rPr>
        <sz val="9"/>
        <rFont val="Arial"/>
        <family val="2"/>
      </rPr>
      <t>:</t>
    </r>
  </si>
  <si>
    <t>Cálculo de la muestra para:</t>
  </si>
  <si>
    <t>Mantenimientos correctivos</t>
  </si>
  <si>
    <t xml:space="preserve">Período Evaluado: </t>
  </si>
  <si>
    <t>Preparado por:</t>
  </si>
  <si>
    <t>Fecha:</t>
  </si>
  <si>
    <t>Revisado por:</t>
  </si>
  <si>
    <t>INGRESO DE PARÁMETROS</t>
  </si>
  <si>
    <t>Tamaño de la Población (N)</t>
  </si>
  <si>
    <t>TAMAÑO DE LA MUESTRA</t>
  </si>
  <si>
    <t>Error Muestral (E)</t>
  </si>
  <si>
    <t>Fórmula</t>
  </si>
  <si>
    <t>Proporción de Éxito (P)</t>
  </si>
  <si>
    <t>Nivel de Confianza</t>
  </si>
  <si>
    <t>Muestra Óptima</t>
  </si>
  <si>
    <t>Nivel de Confianza (Z) (1)</t>
  </si>
  <si>
    <t>Formula para poblaciones infinitas</t>
  </si>
  <si>
    <r>
      <rPr>
        <b/>
        <sz val="10"/>
        <rFont val="Arial"/>
        <family val="2"/>
      </rPr>
      <t>Z=</t>
    </r>
    <r>
      <rPr>
        <sz val="10"/>
        <rFont val="Arial"/>
        <family val="2"/>
      </rPr>
      <t xml:space="preserve"> Valor de la distribución normal estándar de acuerdo al nivel de confianza</t>
    </r>
  </si>
  <si>
    <r>
      <rPr>
        <b/>
        <sz val="10"/>
        <rFont val="Arial"/>
        <family val="2"/>
      </rPr>
      <t>E=</t>
    </r>
    <r>
      <rPr>
        <sz val="10"/>
        <rFont val="Arial"/>
        <family val="2"/>
      </rPr>
      <t xml:space="preserve"> Error de muestreo (precisión)</t>
    </r>
  </si>
  <si>
    <r>
      <rPr>
        <b/>
        <sz val="10"/>
        <rFont val="Arial"/>
        <family val="2"/>
      </rPr>
      <t>N=</t>
    </r>
    <r>
      <rPr>
        <sz val="10"/>
        <rFont val="Arial"/>
        <family val="2"/>
      </rPr>
      <t xml:space="preserve"> Tamaño de la Población</t>
    </r>
  </si>
  <si>
    <t>Formula para poblaciones finitas</t>
  </si>
  <si>
    <r>
      <rPr>
        <b/>
        <sz val="10"/>
        <rFont val="Arial"/>
        <family val="2"/>
      </rPr>
      <t>P=</t>
    </r>
    <r>
      <rPr>
        <sz val="10"/>
        <rFont val="Arial"/>
        <family val="2"/>
      </rPr>
      <t xml:space="preserve"> Proporción estimada</t>
    </r>
  </si>
  <si>
    <r>
      <rPr>
        <b/>
        <sz val="10"/>
        <rFont val="Arial"/>
        <family val="2"/>
      </rPr>
      <t>Q=</t>
    </r>
    <r>
      <rPr>
        <sz val="10"/>
        <rFont val="Arial"/>
        <family val="2"/>
      </rPr>
      <t xml:space="preserve"> 1-P</t>
    </r>
  </si>
  <si>
    <t>Fuente: Contraloría General de la República. Contraloría Delegada para el Sector Social. Agosto 2011</t>
  </si>
  <si>
    <t>Descripción</t>
  </si>
  <si>
    <t xml:space="preserve">TAMAÑO DE LA POBLACIÓN </t>
  </si>
  <si>
    <t>C:\Users\fernando.avila\Downloads\</t>
  </si>
  <si>
    <t>Placa / Activo</t>
  </si>
  <si>
    <t>Toma 
física</t>
  </si>
  <si>
    <t>Placa / 
Activo</t>
  </si>
  <si>
    <t xml:space="preserve">INTERVALOS DE MUESTREOS </t>
  </si>
  <si>
    <t>Población (N)</t>
  </si>
  <si>
    <t>Muestra</t>
  </si>
  <si>
    <t xml:space="preserve">Proceso: Evaluación Control y Mejora  </t>
  </si>
  <si>
    <t>ARRENDAMIENTO DE UN BIEN INMUEBLE, PARA EL FUNCIONAMIENTO DE LOS PROGRAMAS ACADEMICOS Y MISIONALES DE LA ESAP TERRITORIAL No 2 EN LA CIUDAD DE VALLEDUPAR</t>
  </si>
  <si>
    <t>PROMOVER ESPACIOS QUE CONTRIBUYAN AL DESARROLLO INTEGRAL DEL ESTUDIANTE, A TRAVÉS DE ENCUENTROS DEPORTIVOS Y CULTURALES EN EL MARCO DEL BIENESTAR UNIVERSITARIO EN LA ESCUELA SUPERIOR DE ADMINISTRACIÓN PUBLICA ESAP TERRITORIAL NO 2</t>
  </si>
  <si>
    <t>ARRENDAMIENTO DE UN BIEN INMUEBLE, PARA EL FUNCIONAMIENTO DE LOS PROGRAMAS ACADEMICOS Y MISIONALES DE LA ESAP TERRITORIAL No 2 EN LA CIUDAD DE BARRANQUILLA</t>
  </si>
  <si>
    <t>ARRENDAMIENTO DE UN BIEN INMUEBLE, PARA EL FUNCIONAMIENTO DE LOS PROGRAMAS ACADEMICOS Y MISIONALES DE LA ESAP TERRITORIAL No 2 EN LA CIUDAD DE SANTA MARTA</t>
  </si>
  <si>
    <t>Link</t>
  </si>
  <si>
    <t>SILLA FIJA TAPIZADA EN ESPALDAR Y ASIENTO, SIN BRAZOS</t>
  </si>
  <si>
    <t>COMPUTADOR ESCRITORIO ALL IN ONE Saturno AIO 23.8 INC 16 GB</t>
  </si>
  <si>
    <t xml:space="preserve">TELEFONOS IPS MARCA YEALINK DE DOS LINEAS </t>
  </si>
  <si>
    <t>PORTATIL HP PROBOOK 445 G9 AMD Ryzen™ 7</t>
  </si>
  <si>
    <t xml:space="preserve">Descripción </t>
  </si>
  <si>
    <t>LINK</t>
  </si>
  <si>
    <t>PRESTAR SERVICIOS PROFESIONALES PARA EL DESARROLLO DE CUARENTA Y OCHO (48) HORAS DEL PROCESO DE CAPACITACIÓN EN LAS TEMÁTICAS DE LIDERAZGO TRANSFORMADOR, LIDERAZGO ESTRATÉGICO, RESOLUCIÓN DE CONFLICTOS Y GESTIÓN INTEGRAL DE SERVICIO AL CIUDADANO DEL NÚCLEO DE ORGANIZACIONES PÚBLICAS Y GESTIÓN, SEGÚN LA PROGRAMACIÓN DEFINIDA POR LA DIRECCIÓN TERRITORIAL ATLÁNTICO, CESAR, MAGDALENA Y LA GUAJIRA</t>
  </si>
  <si>
    <t>PRESTAR SERVICIOS PROFESIONALES PARA EL DESARROLLO DE SESENTA Y CUATRO (64) HORAS DEL PROCESO DE CAPACITACIÓN EN LAS TEMÁTICAS DE ESTRUCTURA DEL ESTADO DEL NÚCLEO DE ESTADO Y PODER Y DERECHOS HUMANOS DEL NÚCLEO DE PROBLEMÁTICA PÚBLICA, SEGÚN LA PROGRAMACIÓN DEFINIDA POR LA DIRECCIÓN TERRITORIAL ATLÁNTICO, MAGDALENA, CESAR, LA GUAJIRA</t>
  </si>
  <si>
    <t>PRESTAR SERVICIOS PROFESIONALES DESDE EL COMPONENTE PEDAGÓGICO, PARA EL FORTALECIMIENTO Y EJECUCIÓN DE LOS PROYECTOS, PROGRAMAS Y EVENTOS DE LA DIRECCIÓN DE CAPACITACIÓN DE LA TERRITORIAL ATLANTICO</t>
  </si>
  <si>
    <t>PRESTAR SERVICIOS PROFESIONALES PARA EL DESARROLLO DE CUARENTA (40) HORAS DEL PROCESO DE CAPACITACIÓN EN LAS TEMÁTICAS DEL SISTEMA DE CONTROL INTERNO Y GESTIÓN DEL CONTROL FISCAL DEL NÚCLEO DE ORGANIZACIONES PÚBLICAS Y GESTIÓN, SEGÚN LA PROGRAMACIÓN DEFINIDA POR LA DIRECCIÓN TERRITORIAL ATLÁNTICO, CESAR, MAGDALENA Y LA GUAJIRA</t>
  </si>
  <si>
    <t>PRESTACIÓN DE SERVICIOS PARA REALIZAR LAS ACTIVIDADES AL PLAN DE BIENESTAR SOCIAL E INCENTIVOS PARA LOS SERVIDORES PÚBLICOS DE LA TERRITORIAL NO. 2 DE LA ESCUELA SUPERIOR DE ADMINISTRACIÓN PÚBLICA - VIGENCIA 2024</t>
  </si>
  <si>
    <t>PRESTAR SERVICIOS PROFESIONALES PARA EL DESARROLLO DE CUARENTA (40) HORAS DEL PROCESO DE CAPACITACIÓN EN LAS TEMÁTICAS DE CONTRATACIÓN PÚBLICA DEL NÚCLEO DE ESTADO Y PODER Y RÉGIMEN DISCIPLINARIO DEL NÚCLEO DE ORGANIZACIONES PÚBLICAS Y GESTIÓN, SEGÚN LA PROGRAMACIÓN DEFINIDA POR LA DIRECCIÓN TERRITORIAL ATLÁNTICO, MAGDALENA, CESAR, LA GUAJIRA</t>
  </si>
  <si>
    <t>PRESTAR SERVICIOS DE APOYO A LA GESTION COMO ENLACE DE ARCHIVO DE LA TERRITORIAL PARA ATENDER LA GESTIÓN ARCHIVISTICA Y DOCUMENTAL. VIGENCIA 2024</t>
  </si>
  <si>
    <t>PRESTAR SERVICIOS PROFESIONALES PARA APOYAR EL DESARROLLO DE LAS ACTIVIDADES Y PROCESOS CORRESPONDIENTES A ADMISIÓN, INSCRIPCION, MATRÍCULAS Y DEMAS TRAMITES DE REGISTRO Y CONTROL ATENDIENDO; TANTO EL REGLAMENTO, COMO EL CALENDARIO ACADEMICO</t>
  </si>
  <si>
    <t>PRESTAR SERVICIOS PROFESIONALES PARA EL DESARROLLO DE SESENTA Y CUATRO (64) HORAS DEL PROCESO DE CAPACITACIÓN EN LAS TEMÁTICAS DE PARTICIPACIÓN CIUDADANA, CONTROL SOCIAL A LA GESTIÓN PÚBLICA, LIDERAZGO TRANSFORMADOR, EQUIDAD DE GÉNERO DE LOS NÚCLEOS DE ESTADO Y PODER Y DE ORGANIZACIONES PÚBLICAS, SEGÚN LA PROGRAMACIÓN DEFINIDA POR LA DIRECCIÓN TERRITORIAL ATLÁNTICO, CESAR, MAGDALENA Y LA GUAJIRA</t>
  </si>
  <si>
    <t>PRESTACION DE SERVICIOS PERSONALES DE APOYO A LA GESTION DOCUMENTAL Y ARCHIVISTICA QUE SE DESARROLLA EN LA COORDINACION ACADEMICA DE LA TERRITORIAL No. 2</t>
  </si>
  <si>
    <t>PRESTAR SERVICIOS PROFESIONALES PARA EL DESARROLLO DE CUARENTA Y OCHO (48) HORAS DEL PROCESO DE CAPACITACIÓN EN LAS TEMÁTICAS DE PARTICIPACIÓN CIUDADANA, CONTROL SOCIAL A LA GESTIÓN PÚBLICA, LIDERAZGO TRANSFORMADOR DE LOS NÚCLEOS DE ESTADO Y PODER Y DE ORGANIZACIONES PÚBLICAS, SEGÚN LA PROGRAMACIÓN DEFINIDA POR LA DIRECCIÓN TERRITORIAL ATLÁNTICO, CESAR, MAGDALENA Y LA GUAJIRA</t>
  </si>
  <si>
    <t>PRESTAR SERVICIOS PROFESIONALES PARA EL DESARROLLO DE CUARENTA (40) HORAS DEL PROCESO DE CAPACITACIÓN EN LAS TEMÁTICAS DE PARTICIPACIÓN CIUDADANA, DERECHO CONSTITUCIONAL Y DERECHO ADMINISTRATIVO DEL NÚCLEO DE ESTADO Y PODER, SEGÚN LA PROGRAMACIÓN DEFINIDA POR LA DIRECCIÓN TERRITORIAL ATLÁNTICO, MAGDALENA, CESAR, LA GUAJIRA</t>
  </si>
  <si>
    <t>PRESTAR SERVICIOS PROFESIONALES PARA EL DESARROLLO DE OCHENTA (80) HORAS DEL PROCESO DE CAPACITACIÓN EN LAS TEMÁTICAS DE CONTRATACIÓN PÚBLICA DEL NÚCLEO DE ESTADO Y PODER, SEGÚN LA PROGRAMACIÓN DEFINIDA POR LA DIRECCIÓN TERRITORIAL ATLÁNTICO, MAGDALENA, CESAR, LA GUAJIRA</t>
  </si>
  <si>
    <t>PRESTACIÓN DE SERVICIOS PROFESIONALES PARA EL APOYO DE LAS ACTIVIDADES ACADEMICAS-ADMINISTRATIVAS PROPIAS DE LA COORDINACION ACADÉMICA DE LA TERRITORIAL No. 2</t>
  </si>
  <si>
    <t>PRESTACION DE SERVICIOS DE APOYO A LAS ACTIVIDADES ACADEMICO ADMINISTRATIVAS DE LOS PROGRAMAS MISIONALES DE LA ESAP EN EL MUNICIPO DE VILLANUEVA</t>
  </si>
  <si>
    <t>PRESTAR SERVICIOS PROFESIONALES PARA EL DESARROLLO DE NOVENTA Y SEIS (96) HORAS DEL PROCESO DE CAPACITACIÓN EN LAS TEMÁTICAS DE PRESUPUESTO PÚBLICO, FINANZAS PÚBLICAS Y LAS NORMAS INTERNACIONALES DE CONTABILIDAD PARA EL SECTOR PÚBLICO DEL NÚCLEO DE ECONOMÍA DE LO PÚBLICO, SEGÚN LA PROGRAMACIÓN DEFINIDA POR LA DIRECCIÓN TERRITORIAL ATLÁNTICO, CESAR, MAGDALENA Y LA GUAJIRA</t>
  </si>
  <si>
    <t>CONTRATAR EL MANTENIMIENTO PREVENTIVO Y CORRECTIVO INCLUIDO REPUESTOS DE LOS VEHÍCULOS OFICIALES ADSCRITOS AL DESPACHO DE LA DIRECCIÓN TERRITORIAL NO 2 DE LA ESCUELA SUPERIOR DE ADMINISTRACIÓN PUBLICA ESAP</t>
  </si>
  <si>
    <t>PRESTAR SERVICIOS PROFESIONALES PARA EL DESARROLLO DE VEINTICUATRO (24) HORAS DEL PROCESO DE CAPACITACIÓN EN LAS TEMATICAS DE REGIMEN DE SEGURIDAD SOCIAL Y AUDITORIA EN EL SECTOR SALUD DEL NUCLEO DE ORGANIZACIONES PUBLICAS Y GESTION, SEGUN LA PROGRAMACION DEFINIDA POR LA DIRECCION TERRITORIAL ATLANTICO, CESAR, MAGDALENA Y LA GUAJIRA</t>
  </si>
  <si>
    <t>PRESTAR SERVICIOS PROFESIONALES PARA EL DESARROLLO DE CUARENTA Y OCHO (48) HORAS DEL PROCESO DE CAPACITACIÓN EN LAS TEMÁTICAS DE FORMULACIÓN DE PROYECTOS DEL NÚCLEO DE GESTIÓN Y DESARROLLO TERRITORIAL Y GESTIÓN AMBIENTAL DEL NÚCLEO DE ORGANIZACIONES PÚBLICAS Y GESTIÓN, SEGÚN LA PROGRAMACIÓN DEFINIDA POR LA DIRECCIÓN TERRITORIAL ATLÁNTICO, MAGDALENA, CESAR, LA GUAJIRA</t>
  </si>
  <si>
    <t>PRESTACION DE SERVICIOS PERSONALES DE APOYO A LA GESTION DE CARACTER TEMPORAL PARA ATENDER LA GESTION ADMINISTRATIVA PROPIA DE LA COORDINACION ACADEMICA DE LA TERRITORIAL No 2</t>
  </si>
  <si>
    <t>PRESTACION DE SERVICIOS DE APOYO A LAS ACTIVIDADES ACADEMICO ADMINISTRATIVAS DE LOS PROGRAMAS MISIONALES DE LA ESAP EN EL MUNICIPO DE MALAMBO ATLANTICO</t>
  </si>
  <si>
    <t>PRESTAR SERVICIOS PROFESIONALES PARA EL DESARROLLO DE NOVENTA Y SEIS (96) HORAS DEL PROCESO DE CAPACITACIÓN EN LAS TEMÁTICAS DE FORMULACIÓN DE PROYECTOS Y PLANES DE DESARROLLO DEL NÚCLEO DE GESTIÓN Y DESARROLLO TERRITORIAL, SEGÚN LA PROGRAMACIÓN DEFINIDA POR LA DIRECCIÓN TERRITORIAL ATLÁNTICO, MAGDALENA, CESAR, LA GUAJIRA</t>
  </si>
  <si>
    <t>PRESTAR SERVICIOS DE APOYO TÉCNICO PARA BRINDAR EL SOPORTE OPERATIVO, ADMINISTRATIVO YLOGÍSTICO REQUERIDO EN LOS EVENTOS OFERTADOS POR LA DIRECCIÓN DE CAPACITACIÓN</t>
  </si>
  <si>
    <t>PRESTACION DE SERVICIOS DE AREA PROTEGIDA MEDICA PARA LA VIGENCIA 2024, CON EL PROPÓSITO DE ATENDER LOS CASOS DE EMERGENCIAS MÈDICAS, ASI COMO TRASLADO DE MIEMBROS DE LA COMUNIDAD ACADEMICA DE LA TERRITORIAL ATLANTICO</t>
  </si>
  <si>
    <t>PRESTAR SERVICIOS PROFESIONALES EN EL DISEÑO, IMPLEMENTACION, VERIFICACION Y MEJORA DEL SISTEMA DE GESTION EN SEGURIDAD Y SALUD EN EL TRABAJO SG-SST EN LA TERRITORIAL No. 2</t>
  </si>
  <si>
    <t>PRESTAR SERVICIOS PROFESIONALES PARA EL DESARROLLO DE SETENTA Y DOS (72) HORAS DEL PROCESO DE CAPACITACIÓN EN LAS TEMÁTICAS DE FORMULACIÓN DE PROYECTOS, METODOLOGÍA GENERAL AJUSTADA Y PLANES DE DESARROLLO DEL NÚCLEO DE GESTIÓN Y DESARROLLO TERRITORIAL, SEGÚN LA PROGRAMACIÓN DEFINIDA POR LA DIRECCIÓN TERRITORIAL ATLÁNTICO, MAGDALENA, CESAR, LA GUAJIRA</t>
  </si>
  <si>
    <t>PRESTAR SERVICIOS PROFESIONALES PARA EL DESARROLLO DE SETENTA Y DOS (72) HORAS DEL PROCESO DE CAPACITACIÓN EN LAS TEMÁTICAS DE FORMULACIÓN DE PROYECTOS DEL NÚCLEO DE GESTIÓN Y DESARROLLO TERRITORIAL Y GESTIÓN AMBIENTAL DEL NÚCLEO DE ORGANIZACIONES PÚBLICAS Y GESTIÓN, SEGÚN LA PROGRAMACIÓN DEFINIDA POR LA DIRECCIÓN TERRITORIAL ATLÁNTICO, MAGDALENA, CESAR, LA GUAJIRA</t>
  </si>
  <si>
    <t>PRESTACION DE SERVICIOS DE APOYO A LAS ACTIVIDADES ACADEMICO ADMINISTRATIVAS DE LOS PROGRAMAS MISIONALES DE LA ESAP EN EL MUNICIPIO DE URIBIA LA GUAJIRA</t>
  </si>
  <si>
    <t>PRESTAR SERVICIOS PROFESIONALES PARA EL DESARROLLO DE SESENTA Y CUATRO (64) HORAS DEL PROCESO DE CAPACITACIÓN EN LAS TEMÁTICAS DE LIDERAZGO TRANSFORMADOR, LIDERAZGO ESTRATÉGICO, RESOLUCIÓN DE CONFLICTOS Y GESTIÓN INTEGRAL DE SERVICIO AL CIUDADANO DEL NÚCLEO DE ORGANIZACIONES PÚBLICAS Y GESTIÓN, SEGÚN LA PROGRAMACIÓN DEFINIDA POR LA DIRECCIÓN TERRITORIAL ATLÁNTICO, CESAR, MAGDALENA Y LA GUAJIRA</t>
  </si>
  <si>
    <t>PRESTAR SERVICIOS PROFESIONALES PARA EL DESARROLLO DE NOVENTA Y SEIS (96) HORAS DEL PROCESO DE CAPACITACIÓN EN LAS TEMÁTICAS DE PARTICIPACIÓN CIUDADANA, SERVICIO AL CIUDADANO, CONTROL SOCIAL A LA GESTIÓN PÚBLICA DEL NÚCLEO DE ESTADO Y PODER, SEGÚN LA PROGRAMACIÓN DEFINIDA POR LA DIRECCIÓN TERRITORIAL ATLÁNTICO, CESAR, MAGDALENA Y LA GUAJIRA</t>
  </si>
  <si>
    <t>PRESTAR SERVICIOS PROFESIONALES PARA EL DESARROLLO DE TREINTA Y DOS (32) HORAS DEL PROCESO DE CAPACITACIÓN EN LAS TEMÁTICAS DE PARTICIPACIÓN CIUDADANA, SERVICIO AL CIUDADANO, CONTROL SOCIAL A LA GESTIÓN PÚBLICA DEL NÚCLEO DE ESTADO Y PODER, SEGÚN LA PROGRAMACIÓN DEFINIDA POR LA DIRECCIÓN TERRITORIAL ATLÁNTICO, CESAR, MAGDALENA Y LA GUAJIRA</t>
  </si>
  <si>
    <t>PRESTAR SERVICIOS PROFESIONALES PARA EL DESARROLLO DE CUARENTA Y OCHO (48) HORAS DEL PROCESO DE CAPACITACIÓN EN LAS TEMÁTICAS DE POLÍTICAS PÚBLICAS DE LOS NÚCLEOS DE ESTADO Y PODER Y DE PROBLEMÁTICA PÚBLICA, SEGÚN LA PROGRAMACIÓN DEFINIDA POR LA DIRECCIÓN TERRITORIAL ATLÁNTICO, CESAR, MAGDALENA Y LA GUAJIRA</t>
  </si>
  <si>
    <t>PRESTAR SERVICIOS PROFESIONALES PARA EL DESARROLLO DE NOVENTA Y SEIS (96) HORAS DEL PROCESO DE CAPACITACIÓN EN LAS TEMÁTICAS DE CONTRATACIÓN PÚBLICA DEL NÚCLEO DE ESTADO Y PODER, SEGÚN LA PROGRAMACIÓN DEFINIDA POR LA DIRECCIÓN TERRITORIAL ATLÁNTICO, MAGDALENA, CESAR, LA GUAJIRA</t>
  </si>
  <si>
    <t>PRESTAR SERVICIOS PROFESIONALES PARA APOYAR EL DESARROLLO DE LAS ACTIVIDADES Y PROCESOS CORRESPONDIENTES A ADMISIÓN, INSCRIPCIÓN, MATRÍCULAS Y DEMÁS TRÁMITES DE REGISTRO Y CONTROL ATENDIENDO; TANTO EL REGLAMENTO, COMO EL CALENDARIO ACADÉMICO</t>
  </si>
  <si>
    <t>PRESTAR SERVICIOS PROFESIONALES PARA APOYAR EL PROCESO DE CAPACITACION MEDIANTE LA PLANEACION ESTRATÉGICA, SEGUIMIENTO, CONTROL FINANCIERO Y ADMINISTRATIVO, MONITOREO DE LAS METAS Y AVANCES DE LAS ACTIVIDADES A CARGO DE LA DIRECCIÓN TERRITORIAL NO. 2</t>
  </si>
  <si>
    <t>PRESTACION DE SERVICIOS DE APOYO A LAS ACTIVIDADES ACADEMICO ADMINISTRATIVAS DE LOS PROGRAMAS MISIONALES DE LA ESAP EN EL MUNICIPO DE SUAN ATLANTICO</t>
  </si>
  <si>
    <t>PRESTAR SERVICIOS PROFESIONALES PARA EL DESARROLLO DE CUARENTA Y OCHO (48) HORAS DEL PROCESO DE CAPACITACIÓN EN LAS TEMÁTICAS DE POLÍTICAS PÚBLICAS CON ENFOQUE DE GÉNERO Y DERECHOS HUMANOS DEL NÚCLEO DE PROBLEMÁTICA PÚBLICA Y LAS TEMÁTICAS DE POLÍTICAS PÚBLICAS Y PROCESOS DE CONTRATACIÓN PÚBLICA DEL NÚCLEO DE ESTADO Y PODER, SEGÚN LA PROGRAMACIÓN DEFINIDA POR LA DIRECCIÓN TERRITORIAL ATLÁNTICO, CESAR, MAGDALENA Y LA GUAJIRA</t>
  </si>
  <si>
    <t>https://community.secop.gov.co/Public/Tendering/OpportunityDetail/Index?noticeUID=CO1.NTC.6149409</t>
  </si>
  <si>
    <t>https://community.secop.gov.co/Public/Tendering/OpportunityDetail/Index?noticeUID=CO1.NTC.5932652</t>
  </si>
  <si>
    <t>https://community.secop.gov.co/Public/Tendering/OpportunityDetail/Index?noticeUID=CO1.NTC.5510691</t>
  </si>
  <si>
    <t>https://community.secop.gov.co/Public/Tendering/OpportunityDetail/Index?noticeUID=CO1.NTC.6148982</t>
  </si>
  <si>
    <t>https://community.secop.gov.co/Public/Tendering/OpportunityDetail/Index?noticeUID=CO1.NTC.5818608</t>
  </si>
  <si>
    <t>https://community.secop.gov.co/Public/Tendering/OpportunityDetail/Index?noticeUID=CO1.NTC.6515303</t>
  </si>
  <si>
    <t>https://community.secop.gov.co/Public/Tendering/OpportunityDetail/Index?noticeUID=CO1.NTC.6219339</t>
  </si>
  <si>
    <t>https://community.secop.gov.co/Public/Tendering/OpportunityDetail/Index?noticeUID=CO1.NTC.5949128</t>
  </si>
  <si>
    <t>https://community.secop.gov.co/Public/Tendering/OpportunityDetail/Index?noticeUID=CO1.NTC.5546582</t>
  </si>
  <si>
    <t>https://community.secop.gov.co/Public/Tendering/OpportunityDetail/Index?noticeUID=CO1.NTC.6304942</t>
  </si>
  <si>
    <t>https://community.secop.gov.co/Public/Tendering/OpportunityDetail/Index?noticeUID=CO1.NTC.6930077</t>
  </si>
  <si>
    <t>https://community.secop.gov.co/Public/Tendering/OpportunityDetail/Index?noticeUID=CO1.NTC.6603537</t>
  </si>
  <si>
    <t>https://community.secop.gov.co/Public/Tendering/OpportunityDetail/Index?noticeUID=CO1.NTC.5568564</t>
  </si>
  <si>
    <t>https://community.secop.gov.co/Public/Tendering/OpportunityDetail/Index?noticeUID=CO1.NTC.5632001</t>
  </si>
  <si>
    <t>https://community.secop.gov.co/Public/Tendering/OpportunityDetail/Index?noticeUID=CO1.NTC.5966524</t>
  </si>
  <si>
    <t>https://community.secop.gov.co/Public/Tendering/OpportunityDetail/Index?noticeUID=CO1.NTC.5965982</t>
  </si>
  <si>
    <t>https://community.secop.gov.co/Public/Tendering/OpportunityDetail/Index?noticeUID=CO1.NTC.5515685</t>
  </si>
  <si>
    <t>https://community.secop.gov.co/Public/Tendering/OpportunityDetail/Index?noticeUID=CO1.NTC.5514991</t>
  </si>
  <si>
    <t>https://community.secop.gov.co/Public/Tendering/OpportunityDetail/Index?noticeUID=CO1.NTC.6645352</t>
  </si>
  <si>
    <t>https://community.secop.gov.co/Public/Tendering/OpportunityDetail/Index?noticeUID=CO1.NTC.5546568</t>
  </si>
  <si>
    <t>https://community.secop.gov.co/Public/Tendering/OpportunityDetail/Index?noticeUID=CO1.NTC.5934352</t>
  </si>
  <si>
    <t>https://community.secop.gov.co/Public/Tendering/OpportunityDetail/Index?noticeUID=CO1.NTC.5690369</t>
  </si>
  <si>
    <t>https://community.secop.gov.co/Public/Tendering/OpportunityDetail/Index?noticeUID=CO1.NTC.6517046</t>
  </si>
  <si>
    <t>https://community.secop.gov.co/Public/Tendering/OpportunityDetail/Index?noticeUID=CO1.NTC.5966416</t>
  </si>
  <si>
    <t>https://community.secop.gov.co/Public/Tendering/OpportunityDetail/Index?noticeUID=CO1.NTC.5791835</t>
  </si>
  <si>
    <t>https://community.secop.gov.co/Public/Tendering/OpportunityDetail/Index?noticeUID=CO1.NTC.5948980</t>
  </si>
  <si>
    <t>https://community.secop.gov.co/Public/Tendering/OpportunityDetail/Index?noticeUID=CO1.NTC.6514593</t>
  </si>
  <si>
    <t>https://community.secop.gov.co/Public/Tendering/OpportunityDetail/Index?noticeUID=CO1.NTC.5966428</t>
  </si>
  <si>
    <t>https://community.secop.gov.co/Public/Tendering/OpportunityDetail/Index?noticeUID=CO1.NTC.6369851</t>
  </si>
  <si>
    <t>https://community.secop.gov.co/Public/Tendering/OpportunityDetail/Index?noticeUID=CO1.NTC.5924792</t>
  </si>
  <si>
    <t>https://community.secop.gov.co/Public/Tendering/OpportunityDetail/Index?noticeUID=CO1.NTC.6694587</t>
  </si>
  <si>
    <t>https://community.secop.gov.co/Public/Tendering/OpportunityDetail/Index?noticeUID=CO1.NTC.5523672</t>
  </si>
  <si>
    <t>https://community.secop.gov.co/Public/Tendering/OpportunityDetail/Index?noticeUID=CO1.NTC.5546441</t>
  </si>
  <si>
    <t>https://community.secop.gov.co/Public/Tendering/OpportunityDetail/Index?noticeUID=CO1.NTC.5933338</t>
  </si>
  <si>
    <t>https://community.secop.gov.co/Public/Tendering/OpportunityDetail/Index?noticeUID=CO1.NTC.6360628</t>
  </si>
  <si>
    <t>https://community.secop.gov.co/Public/Tendering/OpportunityDetail/Index?noticeUID=CO1.NTC.6788551</t>
  </si>
  <si>
    <t>https://community.secop.gov.co/Public/Tendering/OpportunityDetail/Index?noticeUID=CO1.NTC.5839296</t>
  </si>
  <si>
    <t>https://community.secop.gov.co/Public/Tendering/OpportunityDetail/Index?noticeUID=CO1.NTC.5625575</t>
  </si>
  <si>
    <t>https://community.secop.gov.co/Public/Tendering/OpportunityDetail/Index?noticeUID=CO1.NTC.5949419</t>
  </si>
  <si>
    <t>https://community.secop.gov.co/Public/Tendering/OpportunityDetail/Index?noticeUID=CO1.NTC.6865748</t>
  </si>
  <si>
    <t>https://community.secop.gov.co/Public/Tendering/OpportunityDetail/Index?noticeUID=CO1.NTC.5987994</t>
  </si>
  <si>
    <t>https://community.secop.gov.co/Public/Tendering/OpportunityDetail/Index?noticeUID=CO1.NTC.5966254</t>
  </si>
  <si>
    <t>https://community.secop.gov.co/Public/Tendering/OpportunityDetail/Index?noticeUID=CO1.NTC.5546469</t>
  </si>
  <si>
    <t>https://community.secop.gov.co/Public/Tendering/OpportunityDetail/Index?noticeUID=CO1.NTC.5966516</t>
  </si>
  <si>
    <t>https://community.secop.gov.co/Public/Tendering/OpportunityDetail/Index?noticeUID=CO1.NTC.6590756</t>
  </si>
  <si>
    <t>https://community.secop.gov.co/Public/Tendering/OpportunityDetail/Index?noticeUID=CO1.NTC.5545612</t>
  </si>
  <si>
    <t>https://community.secop.gov.co/Public/Tendering/OpportunityDetail/Index?noticeUID=CO1.NTC.5745288</t>
  </si>
  <si>
    <t>https://community.secop.gov.co/Public/Tendering/OpportunityDetail/Index?noticeUID=CO1.NTC.6509984</t>
  </si>
  <si>
    <t>https://community.secop.gov.co/Public/Tendering/OpportunityDetail/Index?noticeUID=CO1.NTC.6235742</t>
  </si>
  <si>
    <t>https://community.secop.gov.co/Public/Tendering/OpportunityDetail/Index?noticeUID=CO1.NTC.5951971</t>
  </si>
  <si>
    <t>https://community.secop.gov.co/Public/Tendering/OpportunityDetail/Index?noticeUID=CO1.NTC.5865912</t>
  </si>
  <si>
    <t>https://community.secop.gov.co/Public/Tendering/OpportunityDetail/Index?noticeUID=CO1.NTC.5625383</t>
  </si>
  <si>
    <t>https://community.secop.gov.co/Public/Tendering/OpportunityDetail/Index?noticeUID=CO1.NTC.5949163</t>
  </si>
  <si>
    <t>https://community.secop.gov.co/Public/Tendering/OpportunityDetail/Index?noticeUID=CO1.NTC.5568879</t>
  </si>
  <si>
    <t>https://community.secop.gov.co/Public/Tendering/OpportunityDetail/Index?noticeUID=CO1.NTC.6514784</t>
  </si>
  <si>
    <t>https://community.secop.gov.co/Public/Tendering/OpportunityDetail/Index?noticeUID=CO1.NTC.6515302</t>
  </si>
  <si>
    <t>https://community.secop.gov.co/Public/Tendering/OpportunityDetail/Index?noticeUID=CO1.NTC.5966406</t>
  </si>
  <si>
    <t>https://community.secop.gov.co/Public/Tendering/OpportunityDetail/Index?noticeUID=CO1.NTC.5792065</t>
  </si>
  <si>
    <t>https://community.secop.gov.co/Public/Tendering/OpportunityDetail/Index?noticeUID=CO1.NTC.5556212</t>
  </si>
  <si>
    <t>https://community.secop.gov.co/Public/Tendering/OpportunityDetail/Index?noticeUID=CO1.NTC.5934016</t>
  </si>
  <si>
    <t>https://community.secop.gov.co/Public/Tendering/OpportunityDetail/Index?noticeUID=CO1.NTC.5988254</t>
  </si>
  <si>
    <t>https://community.secop.gov.co/Public/Tendering/OpportunityDetail/Index?noticeUID=CO1.NTC.5511022</t>
  </si>
  <si>
    <t>https://community.secop.gov.co/Public/Tendering/OpportunityDetail/Index?noticeUID=CO1.NTC.6149257</t>
  </si>
  <si>
    <t>https://community.secop.gov.co/Public/Tendering/OpportunityDetail/Index?noticeUID=CO1.NTC.5820437</t>
  </si>
  <si>
    <t>https://community.secop.gov.co/Public/Tendering/OpportunityDetail/Index?noticeUID=CO1.NTC.6738364</t>
  </si>
  <si>
    <t>https://community.secop.gov.co/Public/Tendering/OpportunityDetail/Index?noticeUID=CO1.NTC.6871524</t>
  </si>
  <si>
    <t>https://community.secop.gov.co/Public/Tendering/OpportunityDetail/Index?noticeUID=CO1.NTC.5987989</t>
  </si>
  <si>
    <t>https://community.secop.gov.co/Public/Tendering/OpportunityDetail/Index?noticeUID=CO1.NTC.5626042</t>
  </si>
  <si>
    <t>https://community.secop.gov.co/Public/Tendering/OpportunityDetail/Index?noticeUID=CO1.NTC.6603439</t>
  </si>
  <si>
    <t>https://community.secop.gov.co/Public/Tendering/OpportunityDetail/Index?noticeUID=CO1.NTC.5599123</t>
  </si>
  <si>
    <t>https://community.secop.gov.co/Public/Tendering/OpportunityDetail/Index?noticeUID=CO1.NTC.5625788</t>
  </si>
  <si>
    <t>https://community.secop.gov.co/Public/Tendering/OpportunityDetail/Index?noticeUID=CO1.NTC.5925939</t>
  </si>
  <si>
    <t>https://community.secop.gov.co/Public/Tendering/OpportunityDetail/Index?noticeUID=CO1.NTC.5987992</t>
  </si>
  <si>
    <t>https://community.secop.gov.co/Public/Tendering/OpportunityDetail/Index?noticeUID=CO1.NTC.5689674</t>
  </si>
  <si>
    <t>https://community.secop.gov.co/Public/Tendering/OpportunityDetail/Index?noticeUID=CO1.NTC.6644993</t>
  </si>
  <si>
    <t>https://community.secop.gov.co/Public/Tendering/OpportunityDetail/Index?noticeUID=CO1.NTC.5987858</t>
  </si>
  <si>
    <t>https://community.secop.gov.co/Public/Tendering/OpportunityDetail/Index?noticeUID=CO1.NTC.5625802</t>
  </si>
  <si>
    <t>https://community.secop.gov.co/Public/Tendering/OpportunityDetail/Index?noticeUID=CO1.NTC.5515675</t>
  </si>
  <si>
    <t>https://community.secop.gov.co/Public/Tendering/OpportunityDetail/Index?noticeUID=CO1.NTC.5966080</t>
  </si>
  <si>
    <t>https://community.secop.gov.co/Public/Tendering/OpportunityDetail/Index?noticeUID=CO1.NTC.5933344</t>
  </si>
  <si>
    <t>https://community.secop.gov.co/Public/Tendering/OpportunityDetail/Index?noticeUID=CO1.NTC.6394855</t>
  </si>
  <si>
    <t>https://community.secop.gov.co/Public/Tendering/OpportunityDetail/Index?noticeUID=CO1.NTC.5626235</t>
  </si>
  <si>
    <t>https://community.secop.gov.co/Public/Tendering/OpportunityDetail/Index?noticeUID=CO1.NTC.6999472</t>
  </si>
  <si>
    <t>https://community.secop.gov.co/Public/Tendering/OpportunityDetail/Index?noticeUID=CO1.NTC.5924945</t>
  </si>
  <si>
    <t>https://community.secop.gov.co/Public/Tendering/OpportunityDetail/Index?noticeUID=CO1.NTC.5722221</t>
  </si>
  <si>
    <t>https://community.secop.gov.co/Public/Tendering/OpportunityDetail/Index?noticeUID=CO1.NTC.5965996</t>
  </si>
  <si>
    <t>https://community.secop.gov.co/Public/Tendering/OpportunityDetail/Index?noticeUID=CO1.NTC.6235913</t>
  </si>
  <si>
    <t>https://community.secop.gov.co/Public/Tendering/OpportunityDetail/Index?noticeUID=CO1.NTC.6370028</t>
  </si>
  <si>
    <t>https://community.secop.gov.co/Public/Tendering/OpportunityDetail/Index?noticeUID=CO1.NTC.5924798</t>
  </si>
  <si>
    <t>https://community.secop.gov.co/Public/Tendering/OpportunityDetail/Index?noticeUID=CO1.NTC.5745357</t>
  </si>
  <si>
    <t>https://community.secop.gov.co/Public/Tendering/OpportunityDetail/Index?noticeUID=CO1.NTC.5949137</t>
  </si>
  <si>
    <t>https://community.secop.gov.co/Public/Tendering/OpportunityDetail/Index?noticeUID=CO1.NTC.5990161</t>
  </si>
  <si>
    <t>https://community.secop.gov.co/Public/Tendering/OpportunityDetail/Index?noticeUID=CO1.NTC.5546544</t>
  </si>
  <si>
    <t>https://community.secop.gov.co/Public/Tendering/OpportunityDetail/Index?noticeUID=CO1.NTC.5949107</t>
  </si>
  <si>
    <t>https://community.secop.gov.co/Public/Tendering/OpportunityDetail/Index?noticeUID=CO1.NTC.5820656</t>
  </si>
  <si>
    <t>https://community.secop.gov.co/Public/Tendering/OpportunityDetail/Index?noticeUID=CO1.NTC.5949177</t>
  </si>
  <si>
    <t>https://community.secop.gov.co/Public/Tendering/OpportunityDetail/Index?noticeUID=CO1.NTC.5987937</t>
  </si>
  <si>
    <t>https://community.secop.gov.co/Public/Tendering/OpportunityDetail/Index?noticeUID=CO1.NTC.5511961</t>
  </si>
  <si>
    <t>https://community.secop.gov.co/Public/Tendering/OpportunityDetail/Index?noticeUID=CO1.NTC.6514597</t>
  </si>
  <si>
    <t>https://community.secop.gov.co/Public/Tendering/OpportunityDetail/Index?noticeUID=CO1.NTC.5518551</t>
  </si>
  <si>
    <t>https://community.secop.gov.co/Public/Tendering/OpportunityDetail/Index?noticeUID=CO1.NTC.6590570</t>
  </si>
  <si>
    <t>https://community.secop.gov.co/Public/Tendering/OpportunityDetail/Index?noticeUID=CO1.NTC.5545169</t>
  </si>
  <si>
    <t>https://community.secop.gov.co/Public/Tendering/OpportunityDetail/Index?noticeUID=CO1.NTC.5925048</t>
  </si>
  <si>
    <t>https://community.secop.gov.co/Public/Tendering/OpportunityDetail/Index?noticeUID=CO1.NTC.6305115</t>
  </si>
  <si>
    <t>https://community.secop.gov.co/Public/Tendering/OpportunityDetail/Index?noticeUID=CO1.NTC.5622678</t>
  </si>
  <si>
    <t>https://community.secop.gov.co/Public/Tendering/OpportunityDetail/Index?noticeUID=CO1.NTC.5865623</t>
  </si>
  <si>
    <t>https://community.secop.gov.co/Public/Tendering/OpportunityDetail/Index?noticeUID=CO1.NTC.5949520</t>
  </si>
  <si>
    <t>PRESTAR SERVICIOS PROFESIONALES PARA EL DESARROLLO DE LAS ACTIVIDADES DEFINIDAS EN LOS DOCUMENTOS TÉCNICOS DE CADA UNA DE LAS LÍNEAS TEMÁTICAS QUE SEAN NECESARIAS PARA EL ACOMPAÑAMIENTO DE LAS ASISTENCIAS TÉCNICAS CONCERTADAS CON LAS ENTIDADES TERRITORIALES, BAJO LAS DIRECTRICES IMPARTIDAS POR EL LÍDER DEPARTAMENTAL, EN EL MARCO DE LOS LINEAMIENTOS ESTABLECIDOS POR LA DIRECCIÓN DE FORTALECIMIENTO Y APOYO A LA GESTIÓN ESTATAL-DFAGE</t>
  </si>
  <si>
    <t>PRESTAR SERVICIOS PROFESIONALES PARA LA PLANEACIÓN Y EJECUCIÓN DE LAS ACTIVIDADES RELACIONADAS CON LAS ASESORÍAS, CONSULTORÍAS Y ASISTENCIAS TÉCNICAS, CONCERTADAS CON LAS ENTIDADES TERRITORIALES EN EL MARCO DE LA ESTRATEGIA TÉCNICA TERRITORIAL, DANDO CUMPLIMIENTO A LOS LINEAMIENTOS ESTABLECIDOS POR LA SUBDIRECCIÓN NACIONAL DE PROYECCIÓN INSTITUCIONAL</t>
  </si>
  <si>
    <t>PRESTAR SERVICIOS PROFESIONALES PARA APOYAR EL SOPORTE Y REALIZAR SEGUIMIENTO A LA INFRAESTRUCTURA TECNOLÓGICA Y DE SERVICIOS TI DE LA SEDE TERRITORIAL, ACORDE A LOS LINEAMIENTOS IMPARTIDOS POR LA OFICINA DE TECNOLOGÍAS DE LA INFORMACIÓN Y LAS COMUNICACIONES DE
LA ESAP</t>
  </si>
  <si>
    <t>PRESTAR LOS SERVICIOS PROFESIONALES EN LA ORGANIZACIÓN, FUNCIONAMIENTO Y PROMOCIÓN DE LA BIBLIOTECA Y CDIM DE LA TERRITORIAL ATLÁNTICO DE LA ESCUELA SUPERIOR DE ADMINISTRACIÓN PÚBLICA</t>
  </si>
  <si>
    <t>PRESTACION DE SERVICIOS DE ACOMPAÑAMIENTO PROFESIONAL PARA EL DESARROLLO DE LAS ACTIVIDADES ACADEMICO ADMINISTRATIVAS DE LOS PROGRAMAS MISIONALES DE LA ESAP EN LA CIUDAD DE BARRANQUILLA</t>
  </si>
  <si>
    <t>PRESTAR SERVICIOS DE APOYO A LA GESTIÓN COMO ENLACE DE VENTANILLA UNICA DE LA TERRITORIAL PARA ATENDER LOS REQUERIMIENTOS DE ENTRADA Y SALIDA DE COMUNICACIONES Y TRAMITES DE LAS MISMAS</t>
  </si>
  <si>
    <t>PRESTAR SERVICIOS DE APOYO COMO AUXILIAR PARA REALIZAR LOS MANTENIMIENTOS LOCATIVOS, PREVENTIVOS Y CORRECTIVOS EN LOS INMUEBLES DE LA ESAP EN LA TERRITORIAL ATLANTICO CON SEDE EN LA CIUDAD DE BARRANQUILLA INCLUIDOS LOS LUGARES DE DESARROLLO DE LA TERRITORIAL</t>
  </si>
  <si>
    <t>PRESTACION DE SERVICIOS DE ACOMPAÑAMIENTO PROFESIONAL PARA EL DESARROLLO DE LAS ACTIVIDADES ACADEMICO ADMINISTRATIVAS DE LOS PROGRAMAS MISIONALES DE LA ESAP EN LA CIUDAD DE VALLEDUPAR</t>
  </si>
  <si>
    <t>PRESTAR SERVICIOS PROFESIONALES PARA EL DESARROLLO DE CUARENTA Y OCHO (48) HORAS DEL PROCESO DE CAPACITACIÓN EN LAS TEMÁTICAS DE ORGANIZACIÓN Y ESTRUCTURA DEL ESTADO, CÓDIGO DE POLICÍA, MECANISMOS DE PARTICIPACIÓN CIUDADANA, CONTROL SOCIAL A LA GESTIÓN PÚBLICA Y VEEDURÍAS CIUDADANA DEL NÚCLEO DE ESTADO Y PODER, SEGÚN LA PROGRAMACIÓN DEFINIDA POR LA DIRECCIÓN TERRITORIAL ATLÁNTICO, CESAR, MAGDALENA Y LA GUAJIRA</t>
  </si>
  <si>
    <t>PRESTACION DE SERVICIOS DE ACOMPAÑAMIENTO PROFESIONAL PARA EL DESARROLLO DE LAS ACTIVIDADES ACADEMICO ADMINISTRATIVAS DE LOS PROGRAMAS MISIONALES DE LA ESAP EN LA CIUDAD DE SANTA MARTA</t>
  </si>
  <si>
    <t>PRESTAR SERVICIOS PROFESIONALES PARA EL DESARROLLO DE CUARENTA Y OCHO (48) HORAS DEL PROCESO DE CAPACITACIÓN EN LAS TEMÁTICAS DE POLÍTICAS PÚBLICAS, DERECHO ADMINISTRATIVO, DERECHO CONSTITUCIONAL Y DERECHOS HUMANOS, DE LOS NÚCLEOS DE ESTADO Y PODER Y DE PROBLEMÁTICA PÚBLICA, SEGÚN LA PROGRAMACIÓN DEFINIDA POR LA DIRECCIÓN TERRITORIAL ATLÁNTICO, CESAR, MAGDALENA Y LA GUAJIRA</t>
  </si>
  <si>
    <t>PRESTAR SERVICIOS PROFESIONALES PARA LA IMPLEMENTACIÓN DEL PROTOCOLO DE PREVENCIÓN, DETECCIÓN Y ATENCIÓN DE VIOLENCIAS BASADAS EN GÉNERO Y TODO TIPO DE DISCRIMINACIÓN EN COORDINACIÓN CON LA DIRECCIÓN TÉCNICA DE BIENESTAR UNIVERSITARIO DE LA ESAP</t>
  </si>
  <si>
    <t>PRESTAR SERVICIOS PROFESIONALES PARA EL DESARROLLO DE LAS ACTIVIDADES DE BIENESTAR UNIVERSITARIO EN LA DIRECCIÓN TERRITORIAL EN ARTICULACIÓN CON LA DIRECCIÓN TÉCNICA DE BIENESTAR UNIVERSITARIO</t>
  </si>
  <si>
    <t>PRESTACION DE SERVICIOS DE APOYO A LAS ACTIVIDADES ACADEMICO ADMINISTRATIVAS DE LOS PROGRAMAS MISIONALES DE LA ESAP EN EL MUNICIPO DE BOSCONIA CESAR</t>
  </si>
  <si>
    <t>PRESTAR SERVICIOS PROFESIONALES Y DE ACOMPAÑAMIENTO ADMINISTRATIVO A LA DIRECCIÓN DE CAPACITACIÓN, EN EL DESARROLLO Y SEGUIMIENTO A LOS EVENTOS DE CAPACITACIÓN EN LAS DIRECCIONES TERRITORIALES</t>
  </si>
  <si>
    <t>PRESTACION DE SERVICIOS DE APOYO A LAS ACTIVIDADES ACADEMICO ADMINISTRATIVAS DE LOS PROGRAMAS MISIONALES DE LA ESAP EN EL MUNICIPO DE LA JAGUA DE IBIRICO, CESAR</t>
  </si>
  <si>
    <t>PRESTAR SERVICIOS PROFESIONALES PARA EL DESARROLLO DE CUARENTA (40) HORAS DEL PROCESO DE CAPACITACIÓN EN LAS TEMÁTICAS DE ORDENAMIENTO TERRITORIAL, CATASTRO MULTIPROPÓSITO, ESTRATIFICACIÓN SOCIOECONÓMICA, PLANEACIÓN DEL DESARROLLO Y DERECHOS HUMANOS DE LOS NÚCLEOS DE DESARROLLO Y GESTIÓN TERRITORIAL Y EL DE PROBLEMÁTICA PÚBLICA, SEGÚN LA PROGRAMACIÓN DEFINIDA POR LA DIRECCIÓN TERRITORIAL ATLÁNTICO, CESAR, MAGDALENA Y LA GUAJIRA</t>
  </si>
  <si>
    <t>PRESTAR SERVICIOS PROFESIONALES COMO ENLACE DE COMUNICACIONES PARA APOYAR LA CREACION DE CONTENIDOS PERIODISTICOS Y DE DISEÑO REQUERIDOS POR LA TERRITORIAL EN EL MARCO DEL PLAN INSTITUCIONAL DE COMUNICACIONES</t>
  </si>
  <si>
    <t>PLANEAR, COORDINAR, CONTROLAR Y EVALUAR LA ORGANIZACIÓN ADMINISTRATIVA, FINANCIERA Y, DE RECURSOS HUMANOS Y FÍSICOS, PARA SU ADECUADA IMPLEMENTACIÓN EN EL FORTALECIMIENTO Y APOYO A LA GESTIÓN DE LAS ENTIDADES ESTATALES EN EL MARCO DE LA ESTRATEGIA TÉCNICA TERRITORIAL DESARROLLADA EN LOS DEPARTAMENTOS DE ATLÁNTICO, MAGDALENA, CESAR Y LA GUAJIRA, BAJO LOS LINEAMIENTOS TÉCNICOS EMITIDOS POR EL NIVEL CENTRAL</t>
  </si>
  <si>
    <t>PRESTAR SERVICIOS PROFESIONALES EN EL ÁREA DE RECREACIÓN Y DEPORTES DEL PROGRAMA DE BIENESTAR UNIVERSITARIO TERRITORIAL, PARA EL DESARROLLO DE LAS DIFERENTES ACTIVIDADES ASOCIADAS A LA MISMA</t>
  </si>
  <si>
    <t>PRESTAR SERVICIOS PROFESIONALES EN LA ETAPA PRECONTRACTUAL Y CONTRACTUAL EN LOS CONTRATOS DE OBRA, INTERVENTORÍA, DISEÑO Y CONSULTORÍA QUE SE CELEBREN EN EL MARCO DEL PROYECTO FORTALECIMIENTO DE LA INFRAESTRUCTURA FÍSICA Y TECNOLÓGICA DE LA ESAP A NIVEL NACIONAL</t>
  </si>
  <si>
    <t>PRESTACION DE SERVICIOS PROFESIONALES PARA EL APOYO DE LAS ACTIVIDADES ACADEMICO - ADMINISTRATIVAS RELACIONADAS CON EL DESARROLLO DE PROGRAMAS DE PREGRADO EN LA TERRITORIAL ATLANTICO</t>
  </si>
  <si>
    <t>PRESTAR SERVICIOS DE APOYO TECNICO PARA BRINDAR EL SOPORTE OPERATIVO, ADMINISTRATIVO Y LOGISTICO REQUERIDO EN LOS EVENTOS OFERTADOS POR LA DIRECCION DE CAPACITACION</t>
  </si>
  <si>
    <t>PRESTAR SERVICIOS PROFESIONALES PARA EL DESARROLLO DE  CUARENTA Y OCHO (48) HORAS DEL PROCESO DE CAPACITACIÓN EN LAS TEMÁTICAS DE MIPG, TRANSPARENCIA, ÉTICA PÚBLICA Y GESTIÓN INTEGRAL DE SERVICIO AL CIUDADANO DEL NÚCLEO DE ORGANIZACIONES PÚBLICAS Y GESTIÓN, SEGÚN LA PROGRAMACIÓN DEFINIDA POR LA DIRECCIÓN TERRITORIAL ATLÁNTICO, CESAR, MAGDALENA Y LA GUAJIRA</t>
  </si>
  <si>
    <t>PRESTAR SERVICIOS PROFESIONALES EN EL ÁREA DE CULTURA DEL PROGRAMA DE BIENESTAR UNIVERSITARIO TERRITORIAL, PARA EL DESARROLLO DE LAS DIFERENTES ACTIVIDADES ASOCIADAS A LA MISMA.</t>
  </si>
  <si>
    <t>PRESTAR SERVICIOS PROFESIONALES Y DE ACOMPAÑAMIENTO ADMINISTRATIVO A LA DIRECCIÓN DE CAPACITACIÓN, EN EL DESARROLLO Y SEGUIMIENTO A LOS EVENTOS DE CAPACITACIÓN EN LA DIRECCION TERRITORIAL ATLANTICO</t>
  </si>
  <si>
    <t>Papel de Trabajo - Auditoría Contratación 2024 Territorial Atlántico</t>
  </si>
  <si>
    <t>SILLA ERGONOMICA CON BRAZOS Y RODACHINES</t>
  </si>
  <si>
    <t>Papel de Trabajo - Auditoría Activos Fijos en Servicio Sede Principal U65-PISO 1 - Casita Bienestar - S. Central (ALBERTO RODRIGUEZ FERRO) (Bodega 102)</t>
  </si>
  <si>
    <t>SILLA INTERLOCUTORA FIJA CON BRAZOS</t>
  </si>
  <si>
    <t>SILLA GERENCIAL, ASIENTO EN PAÑO, ESPALADAR EN MALLA ELASTICA, CON CABECERO</t>
  </si>
  <si>
    <t>PUESTO DE TRABAJO EN L 1,20 M DE LADO X 0,60 M ANCHO CON CAJONERA 2X1</t>
  </si>
  <si>
    <t>SUPERFICIE RECTANGULAR DE 1.20 X 0.60</t>
  </si>
  <si>
    <t>COMPUTADOR PORTATIL HP PB455G7 R5-4500U 15 16GB/1T 1L0W9LS</t>
  </si>
  <si>
    <t>PORTÁTIL HP 228B6LS PB455G7R3-4300U 15 16GB/256</t>
  </si>
  <si>
    <t>PORTATIL HP 228B6LS PB455G7 R3-4300U 15 16GB/256</t>
  </si>
  <si>
    <t>PUESTO DE TRABAJO RECTANGULAR</t>
  </si>
  <si>
    <t>PANTALLA EN VIDRIO LAMINADO GRANDE</t>
  </si>
  <si>
    <t>PANTALLA EN VIDRIO LAMINADO PEQUEÑA</t>
  </si>
  <si>
    <t>PANTALLA EN VIDRIO LAMINADO MEDIANA</t>
  </si>
  <si>
    <t>Dell Optiplex 7410 AIO Intel® Core™ i5-13500T 16 GB 512 GB SSD 23.8 Pulg</t>
  </si>
  <si>
    <t>PUESTO DE TRABAJO DE 1.20 X 0.60</t>
  </si>
  <si>
    <t>SILLA GIRATORIA ERGONÓMICA CON BRAZOS</t>
  </si>
  <si>
    <t>10070949</t>
  </si>
  <si>
    <t>10070966</t>
  </si>
  <si>
    <t>10070976</t>
  </si>
  <si>
    <t>10070979</t>
  </si>
  <si>
    <t>10071020</t>
  </si>
  <si>
    <t>10071055</t>
  </si>
  <si>
    <t>10071113</t>
  </si>
  <si>
    <t>10071144</t>
  </si>
  <si>
    <t>10071147</t>
  </si>
  <si>
    <t>10071148</t>
  </si>
  <si>
    <t>10071940</t>
  </si>
  <si>
    <t>10072020</t>
  </si>
  <si>
    <t>10072193</t>
  </si>
  <si>
    <t>10072254</t>
  </si>
  <si>
    <t>10075150</t>
  </si>
  <si>
    <t>10075151</t>
  </si>
  <si>
    <t>10075892</t>
  </si>
  <si>
    <t>10076039</t>
  </si>
  <si>
    <t>10076065</t>
  </si>
  <si>
    <t>10076066</t>
  </si>
  <si>
    <t>10076082</t>
  </si>
  <si>
    <t>10076160</t>
  </si>
  <si>
    <t>10076175</t>
  </si>
  <si>
    <t>10076461</t>
  </si>
  <si>
    <t>10076536</t>
  </si>
  <si>
    <t>10076591</t>
  </si>
  <si>
    <t>10076870</t>
  </si>
  <si>
    <t>10076872</t>
  </si>
  <si>
    <t>10076874</t>
  </si>
  <si>
    <t>10076875</t>
  </si>
  <si>
    <t>10076876</t>
  </si>
  <si>
    <t>10077029</t>
  </si>
  <si>
    <t>10077032</t>
  </si>
  <si>
    <t>10077037</t>
  </si>
  <si>
    <t>10077041</t>
  </si>
  <si>
    <t>10077052</t>
  </si>
  <si>
    <t>10077278</t>
  </si>
  <si>
    <t>10077626</t>
  </si>
  <si>
    <t>10078055</t>
  </si>
  <si>
    <t>10078086</t>
  </si>
  <si>
    <t>10079519</t>
  </si>
  <si>
    <t>10080059</t>
  </si>
  <si>
    <t>10080072</t>
  </si>
  <si>
    <t>10081347</t>
  </si>
  <si>
    <t>10081387</t>
  </si>
  <si>
    <t>Enumeración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</si>
</sst>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 _p_t_a_-;\-* #,##0\ _p_t_a_-;_-* &quot;-&quot;\ _p_t_a_-;_-@_-"/>
    <numFmt numFmtId="165" formatCode="#,##0_ ;\-#,##0\ "/>
    <numFmt numFmtId="166" formatCode="0.000"/>
  </numFmts>
  <fonts count="25">
    <font>
      <sz val="11"/>
      <color theme="1"/>
      <name val="Calibri"/>
      <family val="2"/>
      <scheme val="minor"/>
    </font>
    <font>
      <b/>
      <sz val="11"/>
      <color theme="1"/>
      <name val="Calibri"/>
      <family val="2"/>
      <scheme val="minor"/>
    </font>
    <font>
      <sz val="10"/>
      <name val="DejaVu Sans"/>
      <family val="2"/>
    </font>
    <font>
      <sz val="10"/>
      <name val="Arial"/>
      <family val="2"/>
    </font>
    <font>
      <b/>
      <sz val="12"/>
      <color theme="0"/>
      <name val="Arial"/>
      <family val="2"/>
    </font>
    <font>
      <b/>
      <sz val="12"/>
      <name val="Arial"/>
      <family val="2"/>
    </font>
    <font>
      <b/>
      <sz val="9"/>
      <name val="Arial"/>
      <family val="2"/>
    </font>
    <font>
      <sz val="9"/>
      <name val="Arial"/>
      <family val="2"/>
    </font>
    <font>
      <b/>
      <sz val="10"/>
      <name val="Arial"/>
      <family val="2"/>
    </font>
    <font>
      <b/>
      <sz val="14"/>
      <name val="Arial"/>
      <family val="2"/>
    </font>
    <font>
      <b/>
      <sz val="16"/>
      <name val="Arial"/>
      <family val="2"/>
    </font>
    <font>
      <b/>
      <sz val="8"/>
      <name val="Arial"/>
      <family val="2"/>
    </font>
    <font>
      <b/>
      <sz val="9"/>
      <color indexed="81"/>
      <name val="Tahoma"/>
      <family val="2"/>
    </font>
    <font>
      <sz val="9"/>
      <color indexed="81"/>
      <name val="Tahoma"/>
      <family val="2"/>
    </font>
    <font>
      <sz val="11"/>
      <name val="Calibri"/>
      <family val="2"/>
      <scheme val="minor"/>
    </font>
    <font>
      <sz val="11"/>
      <color theme="1"/>
      <name val="Calibri"/>
      <family val="2"/>
      <scheme val="minor"/>
    </font>
    <font>
      <b/>
      <sz val="12"/>
      <color theme="1"/>
      <name val="Arial"/>
      <family val="2"/>
    </font>
    <font>
      <b/>
      <sz val="16"/>
      <color theme="1"/>
      <name val="Arial"/>
      <family val="2"/>
    </font>
    <font>
      <sz val="16"/>
      <color theme="1"/>
      <name val="Arial"/>
      <family val="2"/>
    </font>
    <font>
      <sz val="11"/>
      <color rgb="FFFF0000"/>
      <name val="Calibri"/>
      <family val="2"/>
      <scheme val="minor"/>
    </font>
    <font>
      <b/>
      <sz val="20"/>
      <color theme="0"/>
      <name val="Arial"/>
      <family val="2"/>
    </font>
    <font>
      <sz val="11"/>
      <color theme="0" tint="-0.34998626667073579"/>
      <name val="Calibri"/>
      <family val="2"/>
      <scheme val="minor"/>
    </font>
    <font>
      <b/>
      <sz val="20"/>
      <color rgb="FF000080"/>
      <name val="Calibri"/>
      <family val="2"/>
    </font>
    <font>
      <b/>
      <sz val="20"/>
      <color rgb="FF003366"/>
      <name val="Calibri"/>
      <family val="2"/>
    </font>
    <font>
      <u/>
      <sz val="11"/>
      <color theme="1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00"/>
        <bgColor indexed="64"/>
      </patternFill>
    </fill>
    <fill>
      <patternFill patternType="solid">
        <fgColor rgb="FF00B050"/>
        <bgColor indexed="64"/>
      </patternFill>
    </fill>
    <fill>
      <patternFill patternType="solid">
        <fgColor theme="0" tint="-0.249977111117893"/>
        <bgColor indexed="64"/>
      </patternFill>
    </fill>
    <fill>
      <patternFill patternType="solid">
        <fgColor rgb="FF002060"/>
        <bgColor indexed="64"/>
      </patternFill>
    </fill>
    <fill>
      <patternFill patternType="solid">
        <fgColor theme="9" tint="0.79998168889431442"/>
        <bgColor theme="9" tint="0.79998168889431442"/>
      </patternFill>
    </fill>
  </fills>
  <borders count="30">
    <border>
      <left/>
      <right/>
      <top/>
      <bottom/>
      <diagonal/>
    </border>
    <border>
      <left/>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2"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9" fontId="15" fillId="0" borderId="0" applyFont="0" applyFill="0" applyBorder="0" applyAlignment="0" applyProtection="0"/>
    <xf numFmtId="0" fontId="24" fillId="0" borderId="0" applyNumberFormat="0" applyFill="0" applyBorder="0" applyAlignment="0" applyProtection="0"/>
  </cellStyleXfs>
  <cellXfs count="125">
    <xf numFmtId="0" fontId="0" fillId="0" borderId="0" xfId="0"/>
    <xf numFmtId="0" fontId="1" fillId="3" borderId="0" xfId="0" applyFont="1" applyFill="1"/>
    <xf numFmtId="0" fontId="0" fillId="4" borderId="1" xfId="0" applyFill="1" applyBorder="1"/>
    <xf numFmtId="0" fontId="0" fillId="0" borderId="1" xfId="0" applyBorder="1"/>
    <xf numFmtId="0" fontId="4" fillId="5" borderId="2" xfId="2" applyFont="1" applyFill="1" applyBorder="1" applyAlignment="1">
      <alignment horizontal="center" vertical="center" wrapText="1"/>
    </xf>
    <xf numFmtId="0" fontId="3" fillId="0" borderId="0" xfId="2" applyAlignment="1">
      <alignment vertical="center"/>
    </xf>
    <xf numFmtId="0" fontId="8" fillId="0" borderId="10" xfId="2" applyFont="1" applyBorder="1" applyAlignment="1" applyProtection="1">
      <alignment horizontal="justify" vertical="center"/>
      <protection locked="0"/>
    </xf>
    <xf numFmtId="0" fontId="8" fillId="0" borderId="12" xfId="2" applyFont="1" applyBorder="1" applyAlignment="1" applyProtection="1">
      <alignment horizontal="justify" vertical="center"/>
      <protection locked="0"/>
    </xf>
    <xf numFmtId="0" fontId="8" fillId="0" borderId="11" xfId="2" applyFont="1" applyBorder="1" applyAlignment="1" applyProtection="1">
      <alignment horizontal="justify" vertical="center"/>
      <protection locked="0"/>
    </xf>
    <xf numFmtId="0" fontId="3" fillId="7" borderId="5" xfId="2" applyFill="1" applyBorder="1" applyAlignment="1" applyProtection="1">
      <alignment vertical="center"/>
      <protection hidden="1"/>
    </xf>
    <xf numFmtId="0" fontId="3" fillId="7" borderId="0" xfId="2" applyFill="1" applyAlignment="1" applyProtection="1">
      <alignment vertical="center"/>
      <protection hidden="1"/>
    </xf>
    <xf numFmtId="0" fontId="3" fillId="7" borderId="6" xfId="2" applyFill="1" applyBorder="1" applyAlignment="1" applyProtection="1">
      <alignment vertical="center"/>
      <protection hidden="1"/>
    </xf>
    <xf numFmtId="0" fontId="5" fillId="6" borderId="13" xfId="2" applyFont="1" applyFill="1" applyBorder="1" applyAlignment="1" applyProtection="1">
      <alignment vertical="center"/>
      <protection hidden="1"/>
    </xf>
    <xf numFmtId="165" fontId="8" fillId="3" borderId="13" xfId="3" applyNumberFormat="1" applyFont="1" applyFill="1" applyBorder="1" applyAlignment="1" applyProtection="1">
      <alignment horizontal="center" vertical="center"/>
      <protection locked="0"/>
    </xf>
    <xf numFmtId="0" fontId="3" fillId="7" borderId="6" xfId="2" applyFill="1" applyBorder="1" applyAlignment="1" applyProtection="1">
      <alignment horizontal="center" vertical="center" wrapText="1"/>
      <protection hidden="1"/>
    </xf>
    <xf numFmtId="0" fontId="5" fillId="6" borderId="14" xfId="2" applyFont="1" applyFill="1" applyBorder="1" applyAlignment="1" applyProtection="1">
      <alignment vertical="center"/>
      <protection hidden="1"/>
    </xf>
    <xf numFmtId="9" fontId="8" fillId="3" borderId="14" xfId="4" applyFont="1" applyFill="1" applyBorder="1" applyAlignment="1" applyProtection="1">
      <alignment horizontal="center" vertical="center"/>
      <protection locked="0"/>
    </xf>
    <xf numFmtId="0" fontId="5" fillId="7" borderId="0" xfId="2" applyFont="1" applyFill="1" applyAlignment="1" applyProtection="1">
      <alignment horizontal="right" vertical="center"/>
      <protection hidden="1"/>
    </xf>
    <xf numFmtId="0" fontId="9" fillId="7" borderId="6" xfId="2" applyFont="1" applyFill="1" applyBorder="1" applyAlignment="1" applyProtection="1">
      <alignment horizontal="center" vertical="center"/>
      <protection hidden="1"/>
    </xf>
    <xf numFmtId="9" fontId="8" fillId="0" borderId="14" xfId="4" applyFont="1" applyFill="1" applyBorder="1" applyAlignment="1" applyProtection="1">
      <alignment horizontal="center" vertical="center"/>
      <protection locked="0"/>
    </xf>
    <xf numFmtId="0" fontId="8" fillId="7" borderId="0" xfId="2" applyFont="1" applyFill="1" applyAlignment="1" applyProtection="1">
      <alignment vertical="center"/>
      <protection hidden="1"/>
    </xf>
    <xf numFmtId="0" fontId="8" fillId="7" borderId="6" xfId="2" applyFont="1" applyFill="1" applyBorder="1" applyAlignment="1" applyProtection="1">
      <alignment vertical="center"/>
      <protection hidden="1"/>
    </xf>
    <xf numFmtId="0" fontId="9" fillId="7" borderId="0" xfId="2" applyFont="1" applyFill="1" applyAlignment="1" applyProtection="1">
      <alignment horizontal="right" vertical="center"/>
      <protection hidden="1"/>
    </xf>
    <xf numFmtId="0" fontId="5" fillId="6" borderId="15" xfId="2" applyFont="1" applyFill="1" applyBorder="1" applyAlignment="1" applyProtection="1">
      <alignment vertical="center"/>
      <protection hidden="1"/>
    </xf>
    <xf numFmtId="166" fontId="8" fillId="8" borderId="15" xfId="2" applyNumberFormat="1" applyFont="1" applyFill="1" applyBorder="1" applyAlignment="1" applyProtection="1">
      <alignment horizontal="center" vertical="center"/>
      <protection hidden="1"/>
    </xf>
    <xf numFmtId="0" fontId="5" fillId="7" borderId="5" xfId="2" applyFont="1" applyFill="1" applyBorder="1" applyAlignment="1" applyProtection="1">
      <alignment horizontal="center" vertical="center"/>
      <protection hidden="1"/>
    </xf>
    <xf numFmtId="0" fontId="5" fillId="7" borderId="0" xfId="2" applyFont="1" applyFill="1" applyAlignment="1" applyProtection="1">
      <alignment horizontal="center" vertical="center"/>
      <protection hidden="1"/>
    </xf>
    <xf numFmtId="0" fontId="5" fillId="7" borderId="5" xfId="2" applyFont="1" applyFill="1" applyBorder="1" applyAlignment="1" applyProtection="1">
      <alignment vertical="center"/>
      <protection hidden="1"/>
    </xf>
    <xf numFmtId="0" fontId="3" fillId="7" borderId="16" xfId="2" applyFill="1" applyBorder="1" applyAlignment="1" applyProtection="1">
      <alignment vertical="center"/>
      <protection hidden="1"/>
    </xf>
    <xf numFmtId="0" fontId="3" fillId="7" borderId="17" xfId="2" applyFill="1" applyBorder="1" applyAlignment="1" applyProtection="1">
      <alignment vertical="center"/>
      <protection hidden="1"/>
    </xf>
    <xf numFmtId="0" fontId="3" fillId="7" borderId="18" xfId="2" applyFill="1" applyBorder="1" applyAlignment="1" applyProtection="1">
      <alignment vertical="center"/>
      <protection hidden="1"/>
    </xf>
    <xf numFmtId="17" fontId="11" fillId="0" borderId="0" xfId="2" applyNumberFormat="1" applyFont="1" applyAlignment="1" applyProtection="1">
      <alignment vertical="center"/>
      <protection hidden="1"/>
    </xf>
    <xf numFmtId="0" fontId="3" fillId="0" borderId="0" xfId="2" applyAlignment="1" applyProtection="1">
      <alignment vertical="center"/>
      <protection hidden="1"/>
    </xf>
    <xf numFmtId="0" fontId="14" fillId="3" borderId="0" xfId="0" applyFont="1" applyFill="1"/>
    <xf numFmtId="9" fontId="3" fillId="0" borderId="0" xfId="5" applyFont="1" applyAlignment="1">
      <alignment vertical="center"/>
    </xf>
    <xf numFmtId="0" fontId="0" fillId="3" borderId="0" xfId="0" applyFill="1"/>
    <xf numFmtId="0" fontId="0" fillId="0" borderId="0" xfId="0" applyAlignment="1">
      <alignment horizontal="center"/>
    </xf>
    <xf numFmtId="0" fontId="1" fillId="3" borderId="0" xfId="0" applyFont="1" applyFill="1" applyAlignment="1">
      <alignment vertical="center"/>
    </xf>
    <xf numFmtId="0" fontId="0" fillId="3" borderId="0" xfId="0" applyFill="1" applyAlignment="1">
      <alignment vertical="center"/>
    </xf>
    <xf numFmtId="0" fontId="0" fillId="0" borderId="0" xfId="0" applyAlignment="1">
      <alignment vertical="center"/>
    </xf>
    <xf numFmtId="0" fontId="16" fillId="3" borderId="0" xfId="0" applyFont="1" applyFill="1" applyAlignment="1">
      <alignment horizontal="center"/>
    </xf>
    <xf numFmtId="0" fontId="0" fillId="0" borderId="0" xfId="0" applyProtection="1">
      <protection locked="0" hidden="1"/>
    </xf>
    <xf numFmtId="0" fontId="19" fillId="0" borderId="0" xfId="0" applyFont="1"/>
    <xf numFmtId="0" fontId="19" fillId="0" borderId="0" xfId="0" applyFont="1" applyAlignment="1">
      <alignment vertical="center"/>
    </xf>
    <xf numFmtId="0" fontId="10" fillId="3" borderId="19" xfId="0" applyFont="1" applyFill="1" applyBorder="1" applyAlignment="1">
      <alignment vertical="center"/>
    </xf>
    <xf numFmtId="0" fontId="17" fillId="10" borderId="19" xfId="0" applyFont="1" applyFill="1" applyBorder="1" applyAlignment="1">
      <alignment horizontal="center" vertical="center" wrapText="1"/>
    </xf>
    <xf numFmtId="0" fontId="0" fillId="0" borderId="1" xfId="0" applyBorder="1" applyAlignment="1">
      <alignment horizontal="center"/>
    </xf>
    <xf numFmtId="0" fontId="0" fillId="4" borderId="1" xfId="0" applyFill="1" applyBorder="1" applyAlignment="1">
      <alignment horizontal="center"/>
    </xf>
    <xf numFmtId="0" fontId="0" fillId="0" borderId="1" xfId="0" applyBorder="1" applyAlignment="1">
      <alignment horizontal="center" wrapText="1"/>
    </xf>
    <xf numFmtId="0" fontId="0" fillId="4" borderId="1" xfId="0" applyFill="1" applyBorder="1" applyAlignment="1">
      <alignment horizontal="center" wrapText="1"/>
    </xf>
    <xf numFmtId="0" fontId="10" fillId="3" borderId="19" xfId="0" applyFont="1" applyFill="1" applyBorder="1" applyAlignment="1">
      <alignment horizontal="left"/>
    </xf>
    <xf numFmtId="0" fontId="21" fillId="0" borderId="0" xfId="0" applyFont="1"/>
    <xf numFmtId="0" fontId="0" fillId="0" borderId="0" xfId="0" applyProtection="1">
      <protection locked="0"/>
    </xf>
    <xf numFmtId="0" fontId="18" fillId="0" borderId="19" xfId="0" applyFont="1" applyBorder="1" applyProtection="1">
      <protection locked="0" hidden="1"/>
    </xf>
    <xf numFmtId="22" fontId="18" fillId="0" borderId="19" xfId="0" applyNumberFormat="1" applyFont="1" applyBorder="1" applyProtection="1">
      <protection locked="0" hidden="1"/>
    </xf>
    <xf numFmtId="0" fontId="10" fillId="3" borderId="20" xfId="0" applyFont="1" applyFill="1" applyBorder="1" applyAlignment="1">
      <alignment horizontal="left"/>
    </xf>
    <xf numFmtId="0" fontId="10" fillId="3" borderId="22" xfId="0" applyFont="1" applyFill="1" applyBorder="1" applyAlignment="1">
      <alignment horizontal="left"/>
    </xf>
    <xf numFmtId="0" fontId="18" fillId="3" borderId="19" xfId="0" applyFont="1" applyFill="1" applyBorder="1" applyAlignment="1">
      <alignment horizontal="center" vertical="center" wrapText="1"/>
    </xf>
    <xf numFmtId="0" fontId="10" fillId="3" borderId="21" xfId="0" applyFont="1" applyFill="1" applyBorder="1" applyAlignment="1">
      <alignment horizontal="center"/>
    </xf>
    <xf numFmtId="0" fontId="10" fillId="3" borderId="20" xfId="0" applyFont="1" applyFill="1" applyBorder="1"/>
    <xf numFmtId="0" fontId="10" fillId="3" borderId="21" xfId="0" applyFont="1" applyFill="1" applyBorder="1"/>
    <xf numFmtId="0" fontId="10" fillId="3" borderId="22" xfId="0" applyFont="1" applyFill="1" applyBorder="1"/>
    <xf numFmtId="0" fontId="18" fillId="0" borderId="19" xfId="0" applyFont="1" applyBorder="1"/>
    <xf numFmtId="0" fontId="10" fillId="3" borderId="21" xfId="0" applyFont="1" applyFill="1" applyBorder="1" applyAlignment="1">
      <alignment horizontal="left"/>
    </xf>
    <xf numFmtId="0" fontId="0" fillId="0" borderId="23" xfId="0" applyBorder="1"/>
    <xf numFmtId="0" fontId="0" fillId="12" borderId="23" xfId="0" applyFill="1" applyBorder="1"/>
    <xf numFmtId="0" fontId="0" fillId="0" borderId="24" xfId="0" applyBorder="1"/>
    <xf numFmtId="0" fontId="0" fillId="0" borderId="25" xfId="0" applyBorder="1"/>
    <xf numFmtId="0" fontId="0" fillId="12" borderId="25" xfId="0" applyFill="1" applyBorder="1"/>
    <xf numFmtId="0" fontId="0" fillId="0" borderId="26" xfId="0" applyBorder="1"/>
    <xf numFmtId="0" fontId="0" fillId="12" borderId="27" xfId="0" applyFill="1" applyBorder="1"/>
    <xf numFmtId="0" fontId="0" fillId="0" borderId="27" xfId="0" applyBorder="1"/>
    <xf numFmtId="0" fontId="24" fillId="12" borderId="27" xfId="6" applyFill="1" applyBorder="1"/>
    <xf numFmtId="0" fontId="24" fillId="0" borderId="27" xfId="6" applyBorder="1"/>
    <xf numFmtId="0" fontId="0" fillId="12" borderId="27" xfId="0" applyFill="1" applyBorder="1" applyAlignment="1">
      <alignment horizontal="justify"/>
    </xf>
    <xf numFmtId="0" fontId="0" fillId="0" borderId="27" xfId="0" applyBorder="1" applyAlignment="1">
      <alignment horizontal="justify"/>
    </xf>
    <xf numFmtId="0" fontId="18" fillId="0" borderId="19" xfId="0" applyFont="1" applyBorder="1" applyAlignment="1" applyProtection="1">
      <alignment horizontal="justify" wrapText="1"/>
      <protection locked="0" hidden="1"/>
    </xf>
    <xf numFmtId="22" fontId="10" fillId="3" borderId="19" xfId="0" applyNumberFormat="1" applyFont="1" applyFill="1" applyBorder="1" applyAlignment="1">
      <alignment horizontal="center"/>
    </xf>
    <xf numFmtId="0" fontId="0" fillId="12" borderId="27" xfId="0" applyFill="1" applyBorder="1" applyAlignment="1">
      <alignment horizontal="justify" wrapText="1"/>
    </xf>
    <xf numFmtId="0" fontId="0" fillId="12" borderId="28" xfId="0" applyFill="1" applyBorder="1"/>
    <xf numFmtId="0" fontId="0" fillId="12" borderId="24" xfId="0" applyFill="1" applyBorder="1"/>
    <xf numFmtId="0" fontId="0" fillId="12" borderId="29" xfId="0" applyFill="1" applyBorder="1"/>
    <xf numFmtId="0" fontId="0" fillId="12" borderId="26" xfId="0" applyFill="1" applyBorder="1"/>
    <xf numFmtId="0" fontId="18" fillId="0" borderId="19" xfId="0" applyFont="1" applyBorder="1" applyAlignment="1" applyProtection="1">
      <alignment horizontal="center"/>
      <protection locked="0" hidden="1"/>
    </xf>
    <xf numFmtId="1" fontId="9" fillId="8" borderId="2" xfId="2" applyNumberFormat="1" applyFont="1" applyFill="1" applyBorder="1" applyAlignment="1" applyProtection="1">
      <alignment horizontal="center" vertical="center"/>
      <protection hidden="1"/>
    </xf>
    <xf numFmtId="1" fontId="9" fillId="8" borderId="4" xfId="2" applyNumberFormat="1" applyFont="1" applyFill="1" applyBorder="1" applyAlignment="1" applyProtection="1">
      <alignment horizontal="center" vertical="center"/>
      <protection hidden="1"/>
    </xf>
    <xf numFmtId="3" fontId="10" fillId="9" borderId="2" xfId="2" applyNumberFormat="1" applyFont="1" applyFill="1" applyBorder="1" applyAlignment="1" applyProtection="1">
      <alignment horizontal="center" vertical="center"/>
      <protection hidden="1"/>
    </xf>
    <xf numFmtId="3" fontId="10" fillId="9" borderId="4" xfId="2" applyNumberFormat="1" applyFont="1" applyFill="1" applyBorder="1" applyAlignment="1" applyProtection="1">
      <alignment horizontal="center" vertical="center"/>
      <protection hidden="1"/>
    </xf>
    <xf numFmtId="0" fontId="5" fillId="7" borderId="5" xfId="2" applyFont="1" applyFill="1" applyBorder="1" applyAlignment="1" applyProtection="1">
      <alignment horizontal="center" vertical="center" wrapText="1"/>
      <protection hidden="1"/>
    </xf>
    <xf numFmtId="0" fontId="3" fillId="7" borderId="0" xfId="2" applyFill="1" applyAlignment="1" applyProtection="1">
      <alignment horizontal="center" vertical="center" wrapText="1"/>
      <protection hidden="1"/>
    </xf>
    <xf numFmtId="0" fontId="6" fillId="6" borderId="10" xfId="2" applyFont="1" applyFill="1" applyBorder="1" applyAlignment="1" applyProtection="1">
      <alignment horizontal="justify" vertical="center"/>
      <protection hidden="1"/>
    </xf>
    <xf numFmtId="0" fontId="6" fillId="6" borderId="11" xfId="2" applyFont="1" applyFill="1" applyBorder="1" applyAlignment="1" applyProtection="1">
      <alignment horizontal="justify" vertical="center"/>
      <protection hidden="1"/>
    </xf>
    <xf numFmtId="0" fontId="8" fillId="0" borderId="10" xfId="2" applyFont="1" applyBorder="1" applyAlignment="1" applyProtection="1">
      <alignment horizontal="justify" vertical="center"/>
      <protection locked="0"/>
    </xf>
    <xf numFmtId="0" fontId="8" fillId="0" borderId="12" xfId="2" applyFont="1" applyBorder="1" applyAlignment="1" applyProtection="1">
      <alignment horizontal="justify" vertical="center"/>
      <protection locked="0"/>
    </xf>
    <xf numFmtId="0" fontId="8" fillId="0" borderId="11" xfId="2" applyFont="1" applyBorder="1" applyAlignment="1" applyProtection="1">
      <alignment horizontal="justify" vertical="center"/>
      <protection locked="0"/>
    </xf>
    <xf numFmtId="0" fontId="8" fillId="6" borderId="2" xfId="2" applyFont="1" applyFill="1" applyBorder="1" applyAlignment="1" applyProtection="1">
      <alignment horizontal="center" vertical="center"/>
      <protection hidden="1"/>
    </xf>
    <xf numFmtId="0" fontId="8" fillId="6" borderId="4" xfId="2" applyFont="1" applyFill="1" applyBorder="1" applyAlignment="1" applyProtection="1">
      <alignment horizontal="center" vertical="center"/>
      <protection hidden="1"/>
    </xf>
    <xf numFmtId="0" fontId="9" fillId="7" borderId="5" xfId="2" applyFont="1" applyFill="1" applyBorder="1" applyAlignment="1" applyProtection="1">
      <alignment horizontal="center" vertical="center" wrapText="1"/>
      <protection hidden="1"/>
    </xf>
    <xf numFmtId="0" fontId="9" fillId="7" borderId="0" xfId="2" applyFont="1" applyFill="1" applyAlignment="1" applyProtection="1">
      <alignment horizontal="center" vertical="center" wrapText="1"/>
      <protection hidden="1"/>
    </xf>
    <xf numFmtId="0" fontId="4" fillId="5" borderId="2" xfId="2" applyFont="1" applyFill="1" applyBorder="1" applyAlignment="1">
      <alignment horizontal="center" vertical="center" wrapText="1"/>
    </xf>
    <xf numFmtId="0" fontId="4" fillId="5" borderId="3" xfId="2" applyFont="1" applyFill="1" applyBorder="1" applyAlignment="1">
      <alignment horizontal="center" vertical="center" wrapText="1"/>
    </xf>
    <xf numFmtId="0" fontId="4" fillId="5" borderId="4" xfId="2" applyFont="1" applyFill="1" applyBorder="1" applyAlignment="1">
      <alignment horizontal="center" vertical="center" wrapText="1"/>
    </xf>
    <xf numFmtId="0" fontId="5" fillId="0" borderId="5" xfId="2" applyFont="1" applyBorder="1" applyAlignment="1" applyProtection="1">
      <alignment horizontal="center" vertical="center"/>
      <protection locked="0"/>
    </xf>
    <xf numFmtId="0" fontId="5" fillId="0" borderId="0" xfId="2" applyFont="1" applyAlignment="1" applyProtection="1">
      <alignment horizontal="center" vertical="center"/>
      <protection locked="0"/>
    </xf>
    <xf numFmtId="0" fontId="5" fillId="0" borderId="6" xfId="2" applyFont="1" applyBorder="1" applyAlignment="1" applyProtection="1">
      <alignment horizontal="center" vertical="center"/>
      <protection locked="0"/>
    </xf>
    <xf numFmtId="0" fontId="5" fillId="6" borderId="5" xfId="2" applyFont="1" applyFill="1" applyBorder="1" applyAlignment="1" applyProtection="1">
      <alignment horizontal="center" vertical="center"/>
      <protection hidden="1"/>
    </xf>
    <xf numFmtId="0" fontId="5" fillId="6" borderId="0" xfId="2" applyFont="1" applyFill="1" applyAlignment="1" applyProtection="1">
      <alignment horizontal="center" vertical="center"/>
      <protection hidden="1"/>
    </xf>
    <xf numFmtId="0" fontId="5" fillId="6" borderId="6" xfId="2" applyFont="1" applyFill="1" applyBorder="1" applyAlignment="1" applyProtection="1">
      <alignment horizontal="center" vertical="center"/>
      <protection hidden="1"/>
    </xf>
    <xf numFmtId="0" fontId="6" fillId="6" borderId="7" xfId="2" applyFont="1" applyFill="1" applyBorder="1" applyAlignment="1" applyProtection="1">
      <alignment horizontal="justify" vertical="center"/>
      <protection hidden="1"/>
    </xf>
    <xf numFmtId="0" fontId="7" fillId="6" borderId="8" xfId="2" applyFont="1" applyFill="1" applyBorder="1" applyAlignment="1" applyProtection="1">
      <alignment horizontal="justify" vertical="center"/>
      <protection hidden="1"/>
    </xf>
    <xf numFmtId="0" fontId="8" fillId="0" borderId="7" xfId="2" applyFont="1" applyBorder="1" applyAlignment="1" applyProtection="1">
      <alignment horizontal="justify" vertical="center"/>
      <protection locked="0"/>
    </xf>
    <xf numFmtId="0" fontId="8" fillId="0" borderId="9" xfId="2" applyFont="1" applyBorder="1" applyAlignment="1" applyProtection="1">
      <alignment horizontal="justify" vertical="center"/>
      <protection locked="0"/>
    </xf>
    <xf numFmtId="0" fontId="8" fillId="0" borderId="8" xfId="2" applyFont="1" applyBorder="1" applyAlignment="1" applyProtection="1">
      <alignment horizontal="justify" vertical="center"/>
      <protection locked="0"/>
    </xf>
    <xf numFmtId="0" fontId="7" fillId="6" borderId="10" xfId="2" applyFont="1" applyFill="1" applyBorder="1" applyAlignment="1" applyProtection="1">
      <alignment horizontal="justify" vertical="center"/>
      <protection hidden="1"/>
    </xf>
    <xf numFmtId="0" fontId="7" fillId="6" borderId="11" xfId="2" applyFont="1" applyFill="1" applyBorder="1" applyAlignment="1" applyProtection="1">
      <alignment horizontal="justify" vertical="center"/>
      <protection hidden="1"/>
    </xf>
    <xf numFmtId="0" fontId="17" fillId="2" borderId="0" xfId="0" applyFont="1" applyFill="1" applyAlignment="1">
      <alignment horizontal="center" vertical="center"/>
    </xf>
    <xf numFmtId="0" fontId="20" fillId="11" borderId="19" xfId="0" applyFont="1" applyFill="1" applyBorder="1" applyAlignment="1">
      <alignment horizontal="center" vertical="center"/>
    </xf>
    <xf numFmtId="0" fontId="10" fillId="3" borderId="20" xfId="0" applyFont="1" applyFill="1" applyBorder="1" applyAlignment="1">
      <alignment horizontal="left" wrapText="1"/>
    </xf>
    <xf numFmtId="0" fontId="10" fillId="3" borderId="21" xfId="0" applyFont="1" applyFill="1" applyBorder="1" applyAlignment="1">
      <alignment horizontal="left" wrapText="1"/>
    </xf>
    <xf numFmtId="0" fontId="10" fillId="3" borderId="22" xfId="0" applyFont="1" applyFill="1" applyBorder="1" applyAlignment="1">
      <alignment horizontal="left" wrapText="1"/>
    </xf>
    <xf numFmtId="0" fontId="10" fillId="3" borderId="20" xfId="0" applyFont="1" applyFill="1" applyBorder="1" applyAlignment="1">
      <alignment horizontal="left"/>
    </xf>
    <xf numFmtId="0" fontId="10" fillId="3" borderId="21" xfId="0" applyFont="1" applyFill="1" applyBorder="1" applyAlignment="1">
      <alignment horizontal="left"/>
    </xf>
    <xf numFmtId="0" fontId="10" fillId="3" borderId="22" xfId="0" applyFont="1" applyFill="1" applyBorder="1" applyAlignment="1">
      <alignment horizontal="left"/>
    </xf>
    <xf numFmtId="22" fontId="10" fillId="3" borderId="20" xfId="0" applyNumberFormat="1" applyFont="1" applyFill="1" applyBorder="1" applyAlignment="1">
      <alignment horizontal="center"/>
    </xf>
    <xf numFmtId="0" fontId="10" fillId="3" borderId="22" xfId="0" applyFont="1" applyFill="1" applyBorder="1" applyAlignment="1">
      <alignment horizontal="center"/>
    </xf>
  </cellXfs>
  <cellStyles count="7">
    <cellStyle name="Hipervínculo" xfId="6" builtinId="8"/>
    <cellStyle name="Millares [0] 2" xfId="3" xr:uid="{85D69AB1-555F-44BE-B278-4FCF60645537}"/>
    <cellStyle name="Normal" xfId="0" builtinId="0"/>
    <cellStyle name="Normal 2" xfId="1" xr:uid="{58182D4B-80C9-4182-880F-0958B807D08B}"/>
    <cellStyle name="Normal 3" xfId="2" xr:uid="{4C565FCB-3391-422E-8D62-405FB2C7ED10}"/>
    <cellStyle name="Porcentaje" xfId="5" builtinId="5"/>
    <cellStyle name="Porcentaje 2" xfId="4" xr:uid="{6E6CCE9F-9506-4EE5-823D-340A79AD25EA}"/>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733425</xdr:colOff>
      <xdr:row>26</xdr:row>
      <xdr:rowOff>142875</xdr:rowOff>
    </xdr:from>
    <xdr:to>
      <xdr:col>1</xdr:col>
      <xdr:colOff>419100</xdr:colOff>
      <xdr:row>28</xdr:row>
      <xdr:rowOff>133350</xdr:rowOff>
    </xdr:to>
    <xdr:pic>
      <xdr:nvPicPr>
        <xdr:cNvPr id="2" name="Picture 4">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9714" t="34854" r="5112" b="54071"/>
        <a:stretch>
          <a:fillRect/>
        </a:stretch>
      </xdr:blipFill>
      <xdr:spPr bwMode="auto">
        <a:xfrm>
          <a:off x="733425" y="5286375"/>
          <a:ext cx="1800225"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847725</xdr:colOff>
      <xdr:row>21</xdr:row>
      <xdr:rowOff>76200</xdr:rowOff>
    </xdr:from>
    <xdr:to>
      <xdr:col>1</xdr:col>
      <xdr:colOff>152400</xdr:colOff>
      <xdr:row>24</xdr:row>
      <xdr:rowOff>19050</xdr:rowOff>
    </xdr:to>
    <xdr:pic>
      <xdr:nvPicPr>
        <xdr:cNvPr id="3" name="Picture 4">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65234" t="13029" r="15134" b="71986"/>
        <a:stretch>
          <a:fillRect/>
        </a:stretch>
      </xdr:blipFill>
      <xdr:spPr bwMode="auto">
        <a:xfrm>
          <a:off x="847725" y="4371975"/>
          <a:ext cx="141922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0</xdr:row>
      <xdr:rowOff>47625</xdr:rowOff>
    </xdr:from>
    <xdr:to>
      <xdr:col>0</xdr:col>
      <xdr:colOff>552450</xdr:colOff>
      <xdr:row>0</xdr:row>
      <xdr:rowOff>466725</xdr:rowOff>
    </xdr:to>
    <xdr:pic>
      <xdr:nvPicPr>
        <xdr:cNvPr id="4" name="Picture 1" descr="http://www.mundonets.com/images/escudo-nacional-de-colombia-alternativo.jp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7625" y="47625"/>
          <a:ext cx="5048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203488</xdr:colOff>
      <xdr:row>0</xdr:row>
      <xdr:rowOff>138545</xdr:rowOff>
    </xdr:from>
    <xdr:to>
      <xdr:col>0</xdr:col>
      <xdr:colOff>1270437</xdr:colOff>
      <xdr:row>0</xdr:row>
      <xdr:rowOff>938757</xdr:rowOff>
    </xdr:to>
    <xdr:pic>
      <xdr:nvPicPr>
        <xdr:cNvPr id="2" name="Imagen 1" descr="Imagen-de-identidad-ESAP-Cu">
          <a:extLst>
            <a:ext uri="{FF2B5EF4-FFF2-40B4-BE49-F238E27FC236}">
              <a16:creationId xmlns:a16="http://schemas.microsoft.com/office/drawing/2014/main" id="{E3C28ADA-DC46-4032-AB6D-56861A793F21}"/>
            </a:ext>
          </a:extLst>
        </xdr:cNvPr>
        <xdr:cNvPicPr>
          <a:picLocks noChangeAspect="1"/>
        </xdr:cNvPicPr>
      </xdr:nvPicPr>
      <xdr:blipFill>
        <a:blip xmlns:r="http://schemas.openxmlformats.org/officeDocument/2006/relationships" r:embed="rId1"/>
        <a:stretch>
          <a:fillRect/>
        </a:stretch>
      </xdr:blipFill>
      <xdr:spPr>
        <a:xfrm>
          <a:off x="203488" y="138545"/>
          <a:ext cx="1066949" cy="800212"/>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175260</xdr:colOff>
          <xdr:row>5</xdr:row>
          <xdr:rowOff>373380</xdr:rowOff>
        </xdr:from>
        <xdr:to>
          <xdr:col>10</xdr:col>
          <xdr:colOff>502920</xdr:colOff>
          <xdr:row>9</xdr:row>
          <xdr:rowOff>30480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CO" sz="2000" b="1" i="0" u="none" strike="noStrike" baseline="0">
                  <a:solidFill>
                    <a:srgbClr val="000080"/>
                  </a:solidFill>
                  <a:latin typeface="Calibri"/>
                  <a:ea typeface="Calibri"/>
                  <a:cs typeface="Calibri"/>
                </a:rPr>
                <a:t>ALEATORIO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274320</xdr:colOff>
          <xdr:row>10</xdr:row>
          <xdr:rowOff>144780</xdr:rowOff>
        </xdr:from>
        <xdr:to>
          <xdr:col>10</xdr:col>
          <xdr:colOff>464820</xdr:colOff>
          <xdr:row>12</xdr:row>
          <xdr:rowOff>365760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CO" sz="2000" b="1" i="0" u="none" strike="noStrike" baseline="0">
                  <a:solidFill>
                    <a:srgbClr val="003366"/>
                  </a:solidFill>
                  <a:latin typeface="Calibri"/>
                  <a:ea typeface="Calibri"/>
                  <a:cs typeface="Calibri"/>
                </a:rPr>
                <a:t>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203488</xdr:colOff>
      <xdr:row>0</xdr:row>
      <xdr:rowOff>138545</xdr:rowOff>
    </xdr:from>
    <xdr:to>
      <xdr:col>0</xdr:col>
      <xdr:colOff>1270437</xdr:colOff>
      <xdr:row>0</xdr:row>
      <xdr:rowOff>938757</xdr:rowOff>
    </xdr:to>
    <xdr:pic>
      <xdr:nvPicPr>
        <xdr:cNvPr id="2" name="Imagen 1" descr="Imagen-de-identidad-ESAP-Cu">
          <a:extLst>
            <a:ext uri="{FF2B5EF4-FFF2-40B4-BE49-F238E27FC236}">
              <a16:creationId xmlns:a16="http://schemas.microsoft.com/office/drawing/2014/main" id="{1F575A33-7932-4296-B1E9-82CD4150AD7D}"/>
            </a:ext>
          </a:extLst>
        </xdr:cNvPr>
        <xdr:cNvPicPr>
          <a:picLocks noChangeAspect="1"/>
        </xdr:cNvPicPr>
      </xdr:nvPicPr>
      <xdr:blipFill>
        <a:blip xmlns:r="http://schemas.openxmlformats.org/officeDocument/2006/relationships" r:embed="rId1"/>
        <a:stretch>
          <a:fillRect/>
        </a:stretch>
      </xdr:blipFill>
      <xdr:spPr>
        <a:xfrm>
          <a:off x="203488" y="138545"/>
          <a:ext cx="1066949" cy="800212"/>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175260</xdr:colOff>
          <xdr:row>5</xdr:row>
          <xdr:rowOff>373380</xdr:rowOff>
        </xdr:from>
        <xdr:to>
          <xdr:col>9</xdr:col>
          <xdr:colOff>502920</xdr:colOff>
          <xdr:row>9</xdr:row>
          <xdr:rowOff>30480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CO" sz="2000" b="1" i="0" u="none" strike="noStrike" baseline="0">
                  <a:solidFill>
                    <a:srgbClr val="000080"/>
                  </a:solidFill>
                  <a:latin typeface="Calibri"/>
                  <a:ea typeface="Calibri"/>
                  <a:cs typeface="Calibri"/>
                </a:rPr>
                <a:t>ALEATORIO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274320</xdr:colOff>
          <xdr:row>10</xdr:row>
          <xdr:rowOff>144780</xdr:rowOff>
        </xdr:from>
        <xdr:to>
          <xdr:col>9</xdr:col>
          <xdr:colOff>464820</xdr:colOff>
          <xdr:row>12</xdr:row>
          <xdr:rowOff>365760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CO" sz="2000" b="1" i="0" u="none" strike="noStrike" baseline="0">
                  <a:solidFill>
                    <a:srgbClr val="003366"/>
                  </a:solidFill>
                  <a:latin typeface="Calibri"/>
                  <a:ea typeface="Calibri"/>
                  <a:cs typeface="Calibri"/>
                </a:rPr>
                <a:t>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203488</xdr:colOff>
      <xdr:row>0</xdr:row>
      <xdr:rowOff>138545</xdr:rowOff>
    </xdr:from>
    <xdr:to>
      <xdr:col>0</xdr:col>
      <xdr:colOff>1270437</xdr:colOff>
      <xdr:row>0</xdr:row>
      <xdr:rowOff>938757</xdr:rowOff>
    </xdr:to>
    <xdr:pic>
      <xdr:nvPicPr>
        <xdr:cNvPr id="2" name="Imagen 1" descr="Imagen-de-identidad-ESAP-Cu">
          <a:extLst>
            <a:ext uri="{FF2B5EF4-FFF2-40B4-BE49-F238E27FC236}">
              <a16:creationId xmlns:a16="http://schemas.microsoft.com/office/drawing/2014/main" id="{5C30D26A-06D5-4FEB-9F86-A37A7B153C7C}"/>
            </a:ext>
          </a:extLst>
        </xdr:cNvPr>
        <xdr:cNvPicPr>
          <a:picLocks noChangeAspect="1"/>
        </xdr:cNvPicPr>
      </xdr:nvPicPr>
      <xdr:blipFill>
        <a:blip xmlns:r="http://schemas.openxmlformats.org/officeDocument/2006/relationships" r:embed="rId1"/>
        <a:stretch>
          <a:fillRect/>
        </a:stretch>
      </xdr:blipFill>
      <xdr:spPr>
        <a:xfrm>
          <a:off x="203488" y="138545"/>
          <a:ext cx="1066949" cy="800212"/>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175260</xdr:colOff>
          <xdr:row>5</xdr:row>
          <xdr:rowOff>373380</xdr:rowOff>
        </xdr:from>
        <xdr:to>
          <xdr:col>9</xdr:col>
          <xdr:colOff>502920</xdr:colOff>
          <xdr:row>9</xdr:row>
          <xdr:rowOff>30480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CO" sz="2000" b="1" i="0" u="none" strike="noStrike" baseline="0">
                  <a:solidFill>
                    <a:srgbClr val="000080"/>
                  </a:solidFill>
                  <a:latin typeface="Calibri"/>
                  <a:ea typeface="Calibri"/>
                  <a:cs typeface="Calibri"/>
                </a:rPr>
                <a:t>ALEATORIO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274320</xdr:colOff>
          <xdr:row>10</xdr:row>
          <xdr:rowOff>144780</xdr:rowOff>
        </xdr:from>
        <xdr:to>
          <xdr:col>9</xdr:col>
          <xdr:colOff>464820</xdr:colOff>
          <xdr:row>12</xdr:row>
          <xdr:rowOff>365760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CO" sz="2000" b="1" i="0" u="none" strike="noStrike" baseline="0">
                  <a:solidFill>
                    <a:srgbClr val="003366"/>
                  </a:solidFill>
                  <a:latin typeface="Calibri"/>
                  <a:ea typeface="Calibri"/>
                  <a:cs typeface="Calibri"/>
                </a:rPr>
                <a:t>PDF</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Amarillo">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community.secop.gov.co/Public/Tendering/OpportunityDetail/Index?noticeUID=CO1.NTC.5932652" TargetMode="External"/><Relationship Id="rId1" Type="http://schemas.openxmlformats.org/officeDocument/2006/relationships/hyperlink" Target="https://community.secop.gov.co/Public/Tendering/OpportunityDetail/Index?noticeUID=CO1.NTC.6149409"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8D45C-A815-429E-95A3-218C59E2516C}">
  <sheetPr codeName="Hoja2">
    <pageSetUpPr fitToPage="1"/>
  </sheetPr>
  <dimension ref="A1:H31"/>
  <sheetViews>
    <sheetView showGridLines="0" zoomScale="130" zoomScaleNormal="130" workbookViewId="0">
      <selection activeCell="D17" sqref="D17:E17"/>
    </sheetView>
  </sheetViews>
  <sheetFormatPr baseColWidth="10" defaultRowHeight="13.2"/>
  <cols>
    <col min="1" max="1" width="31.6640625" style="5" customWidth="1"/>
    <col min="2" max="2" width="15.6640625" style="5" customWidth="1"/>
    <col min="3" max="3" width="25.6640625" style="5" customWidth="1"/>
    <col min="4" max="4" width="18.6640625" style="5" customWidth="1"/>
    <col min="5" max="5" width="20.6640625" style="5" customWidth="1"/>
    <col min="6" max="6" width="2.6640625" style="5" customWidth="1"/>
    <col min="7" max="256" width="11.44140625" style="5"/>
    <col min="257" max="257" width="31.6640625" style="5" customWidth="1"/>
    <col min="258" max="258" width="15.6640625" style="5" customWidth="1"/>
    <col min="259" max="259" width="25.6640625" style="5" customWidth="1"/>
    <col min="260" max="260" width="18.6640625" style="5" customWidth="1"/>
    <col min="261" max="261" width="20.6640625" style="5" customWidth="1"/>
    <col min="262" max="262" width="2.6640625" style="5" customWidth="1"/>
    <col min="263" max="512" width="11.44140625" style="5"/>
    <col min="513" max="513" width="31.6640625" style="5" customWidth="1"/>
    <col min="514" max="514" width="15.6640625" style="5" customWidth="1"/>
    <col min="515" max="515" width="25.6640625" style="5" customWidth="1"/>
    <col min="516" max="516" width="18.6640625" style="5" customWidth="1"/>
    <col min="517" max="517" width="20.6640625" style="5" customWidth="1"/>
    <col min="518" max="518" width="2.6640625" style="5" customWidth="1"/>
    <col min="519" max="768" width="11.44140625" style="5"/>
    <col min="769" max="769" width="31.6640625" style="5" customWidth="1"/>
    <col min="770" max="770" width="15.6640625" style="5" customWidth="1"/>
    <col min="771" max="771" width="25.6640625" style="5" customWidth="1"/>
    <col min="772" max="772" width="18.6640625" style="5" customWidth="1"/>
    <col min="773" max="773" width="20.6640625" style="5" customWidth="1"/>
    <col min="774" max="774" width="2.6640625" style="5" customWidth="1"/>
    <col min="775" max="1024" width="11.44140625" style="5"/>
    <col min="1025" max="1025" width="31.6640625" style="5" customWidth="1"/>
    <col min="1026" max="1026" width="15.6640625" style="5" customWidth="1"/>
    <col min="1027" max="1027" width="25.6640625" style="5" customWidth="1"/>
    <col min="1028" max="1028" width="18.6640625" style="5" customWidth="1"/>
    <col min="1029" max="1029" width="20.6640625" style="5" customWidth="1"/>
    <col min="1030" max="1030" width="2.6640625" style="5" customWidth="1"/>
    <col min="1031" max="1280" width="11.44140625" style="5"/>
    <col min="1281" max="1281" width="31.6640625" style="5" customWidth="1"/>
    <col min="1282" max="1282" width="15.6640625" style="5" customWidth="1"/>
    <col min="1283" max="1283" width="25.6640625" style="5" customWidth="1"/>
    <col min="1284" max="1284" width="18.6640625" style="5" customWidth="1"/>
    <col min="1285" max="1285" width="20.6640625" style="5" customWidth="1"/>
    <col min="1286" max="1286" width="2.6640625" style="5" customWidth="1"/>
    <col min="1287" max="1536" width="11.44140625" style="5"/>
    <col min="1537" max="1537" width="31.6640625" style="5" customWidth="1"/>
    <col min="1538" max="1538" width="15.6640625" style="5" customWidth="1"/>
    <col min="1539" max="1539" width="25.6640625" style="5" customWidth="1"/>
    <col min="1540" max="1540" width="18.6640625" style="5" customWidth="1"/>
    <col min="1541" max="1541" width="20.6640625" style="5" customWidth="1"/>
    <col min="1542" max="1542" width="2.6640625" style="5" customWidth="1"/>
    <col min="1543" max="1792" width="11.44140625" style="5"/>
    <col min="1793" max="1793" width="31.6640625" style="5" customWidth="1"/>
    <col min="1794" max="1794" width="15.6640625" style="5" customWidth="1"/>
    <col min="1795" max="1795" width="25.6640625" style="5" customWidth="1"/>
    <col min="1796" max="1796" width="18.6640625" style="5" customWidth="1"/>
    <col min="1797" max="1797" width="20.6640625" style="5" customWidth="1"/>
    <col min="1798" max="1798" width="2.6640625" style="5" customWidth="1"/>
    <col min="1799" max="2048" width="11.44140625" style="5"/>
    <col min="2049" max="2049" width="31.6640625" style="5" customWidth="1"/>
    <col min="2050" max="2050" width="15.6640625" style="5" customWidth="1"/>
    <col min="2051" max="2051" width="25.6640625" style="5" customWidth="1"/>
    <col min="2052" max="2052" width="18.6640625" style="5" customWidth="1"/>
    <col min="2053" max="2053" width="20.6640625" style="5" customWidth="1"/>
    <col min="2054" max="2054" width="2.6640625" style="5" customWidth="1"/>
    <col min="2055" max="2304" width="11.44140625" style="5"/>
    <col min="2305" max="2305" width="31.6640625" style="5" customWidth="1"/>
    <col min="2306" max="2306" width="15.6640625" style="5" customWidth="1"/>
    <col min="2307" max="2307" width="25.6640625" style="5" customWidth="1"/>
    <col min="2308" max="2308" width="18.6640625" style="5" customWidth="1"/>
    <col min="2309" max="2309" width="20.6640625" style="5" customWidth="1"/>
    <col min="2310" max="2310" width="2.6640625" style="5" customWidth="1"/>
    <col min="2311" max="2560" width="11.44140625" style="5"/>
    <col min="2561" max="2561" width="31.6640625" style="5" customWidth="1"/>
    <col min="2562" max="2562" width="15.6640625" style="5" customWidth="1"/>
    <col min="2563" max="2563" width="25.6640625" style="5" customWidth="1"/>
    <col min="2564" max="2564" width="18.6640625" style="5" customWidth="1"/>
    <col min="2565" max="2565" width="20.6640625" style="5" customWidth="1"/>
    <col min="2566" max="2566" width="2.6640625" style="5" customWidth="1"/>
    <col min="2567" max="2816" width="11.44140625" style="5"/>
    <col min="2817" max="2817" width="31.6640625" style="5" customWidth="1"/>
    <col min="2818" max="2818" width="15.6640625" style="5" customWidth="1"/>
    <col min="2819" max="2819" width="25.6640625" style="5" customWidth="1"/>
    <col min="2820" max="2820" width="18.6640625" style="5" customWidth="1"/>
    <col min="2821" max="2821" width="20.6640625" style="5" customWidth="1"/>
    <col min="2822" max="2822" width="2.6640625" style="5" customWidth="1"/>
    <col min="2823" max="3072" width="11.44140625" style="5"/>
    <col min="3073" max="3073" width="31.6640625" style="5" customWidth="1"/>
    <col min="3074" max="3074" width="15.6640625" style="5" customWidth="1"/>
    <col min="3075" max="3075" width="25.6640625" style="5" customWidth="1"/>
    <col min="3076" max="3076" width="18.6640625" style="5" customWidth="1"/>
    <col min="3077" max="3077" width="20.6640625" style="5" customWidth="1"/>
    <col min="3078" max="3078" width="2.6640625" style="5" customWidth="1"/>
    <col min="3079" max="3328" width="11.44140625" style="5"/>
    <col min="3329" max="3329" width="31.6640625" style="5" customWidth="1"/>
    <col min="3330" max="3330" width="15.6640625" style="5" customWidth="1"/>
    <col min="3331" max="3331" width="25.6640625" style="5" customWidth="1"/>
    <col min="3332" max="3332" width="18.6640625" style="5" customWidth="1"/>
    <col min="3333" max="3333" width="20.6640625" style="5" customWidth="1"/>
    <col min="3334" max="3334" width="2.6640625" style="5" customWidth="1"/>
    <col min="3335" max="3584" width="11.44140625" style="5"/>
    <col min="3585" max="3585" width="31.6640625" style="5" customWidth="1"/>
    <col min="3586" max="3586" width="15.6640625" style="5" customWidth="1"/>
    <col min="3587" max="3587" width="25.6640625" style="5" customWidth="1"/>
    <col min="3588" max="3588" width="18.6640625" style="5" customWidth="1"/>
    <col min="3589" max="3589" width="20.6640625" style="5" customWidth="1"/>
    <col min="3590" max="3590" width="2.6640625" style="5" customWidth="1"/>
    <col min="3591" max="3840" width="11.44140625" style="5"/>
    <col min="3841" max="3841" width="31.6640625" style="5" customWidth="1"/>
    <col min="3842" max="3842" width="15.6640625" style="5" customWidth="1"/>
    <col min="3843" max="3843" width="25.6640625" style="5" customWidth="1"/>
    <col min="3844" max="3844" width="18.6640625" style="5" customWidth="1"/>
    <col min="3845" max="3845" width="20.6640625" style="5" customWidth="1"/>
    <col min="3846" max="3846" width="2.6640625" style="5" customWidth="1"/>
    <col min="3847" max="4096" width="11.44140625" style="5"/>
    <col min="4097" max="4097" width="31.6640625" style="5" customWidth="1"/>
    <col min="4098" max="4098" width="15.6640625" style="5" customWidth="1"/>
    <col min="4099" max="4099" width="25.6640625" style="5" customWidth="1"/>
    <col min="4100" max="4100" width="18.6640625" style="5" customWidth="1"/>
    <col min="4101" max="4101" width="20.6640625" style="5" customWidth="1"/>
    <col min="4102" max="4102" width="2.6640625" style="5" customWidth="1"/>
    <col min="4103" max="4352" width="11.44140625" style="5"/>
    <col min="4353" max="4353" width="31.6640625" style="5" customWidth="1"/>
    <col min="4354" max="4354" width="15.6640625" style="5" customWidth="1"/>
    <col min="4355" max="4355" width="25.6640625" style="5" customWidth="1"/>
    <col min="4356" max="4356" width="18.6640625" style="5" customWidth="1"/>
    <col min="4357" max="4357" width="20.6640625" style="5" customWidth="1"/>
    <col min="4358" max="4358" width="2.6640625" style="5" customWidth="1"/>
    <col min="4359" max="4608" width="11.44140625" style="5"/>
    <col min="4609" max="4609" width="31.6640625" style="5" customWidth="1"/>
    <col min="4610" max="4610" width="15.6640625" style="5" customWidth="1"/>
    <col min="4611" max="4611" width="25.6640625" style="5" customWidth="1"/>
    <col min="4612" max="4612" width="18.6640625" style="5" customWidth="1"/>
    <col min="4613" max="4613" width="20.6640625" style="5" customWidth="1"/>
    <col min="4614" max="4614" width="2.6640625" style="5" customWidth="1"/>
    <col min="4615" max="4864" width="11.44140625" style="5"/>
    <col min="4865" max="4865" width="31.6640625" style="5" customWidth="1"/>
    <col min="4866" max="4866" width="15.6640625" style="5" customWidth="1"/>
    <col min="4867" max="4867" width="25.6640625" style="5" customWidth="1"/>
    <col min="4868" max="4868" width="18.6640625" style="5" customWidth="1"/>
    <col min="4869" max="4869" width="20.6640625" style="5" customWidth="1"/>
    <col min="4870" max="4870" width="2.6640625" style="5" customWidth="1"/>
    <col min="4871" max="5120" width="11.44140625" style="5"/>
    <col min="5121" max="5121" width="31.6640625" style="5" customWidth="1"/>
    <col min="5122" max="5122" width="15.6640625" style="5" customWidth="1"/>
    <col min="5123" max="5123" width="25.6640625" style="5" customWidth="1"/>
    <col min="5124" max="5124" width="18.6640625" style="5" customWidth="1"/>
    <col min="5125" max="5125" width="20.6640625" style="5" customWidth="1"/>
    <col min="5126" max="5126" width="2.6640625" style="5" customWidth="1"/>
    <col min="5127" max="5376" width="11.44140625" style="5"/>
    <col min="5377" max="5377" width="31.6640625" style="5" customWidth="1"/>
    <col min="5378" max="5378" width="15.6640625" style="5" customWidth="1"/>
    <col min="5379" max="5379" width="25.6640625" style="5" customWidth="1"/>
    <col min="5380" max="5380" width="18.6640625" style="5" customWidth="1"/>
    <col min="5381" max="5381" width="20.6640625" style="5" customWidth="1"/>
    <col min="5382" max="5382" width="2.6640625" style="5" customWidth="1"/>
    <col min="5383" max="5632" width="11.44140625" style="5"/>
    <col min="5633" max="5633" width="31.6640625" style="5" customWidth="1"/>
    <col min="5634" max="5634" width="15.6640625" style="5" customWidth="1"/>
    <col min="5635" max="5635" width="25.6640625" style="5" customWidth="1"/>
    <col min="5636" max="5636" width="18.6640625" style="5" customWidth="1"/>
    <col min="5637" max="5637" width="20.6640625" style="5" customWidth="1"/>
    <col min="5638" max="5638" width="2.6640625" style="5" customWidth="1"/>
    <col min="5639" max="5888" width="11.44140625" style="5"/>
    <col min="5889" max="5889" width="31.6640625" style="5" customWidth="1"/>
    <col min="5890" max="5890" width="15.6640625" style="5" customWidth="1"/>
    <col min="5891" max="5891" width="25.6640625" style="5" customWidth="1"/>
    <col min="5892" max="5892" width="18.6640625" style="5" customWidth="1"/>
    <col min="5893" max="5893" width="20.6640625" style="5" customWidth="1"/>
    <col min="5894" max="5894" width="2.6640625" style="5" customWidth="1"/>
    <col min="5895" max="6144" width="11.44140625" style="5"/>
    <col min="6145" max="6145" width="31.6640625" style="5" customWidth="1"/>
    <col min="6146" max="6146" width="15.6640625" style="5" customWidth="1"/>
    <col min="6147" max="6147" width="25.6640625" style="5" customWidth="1"/>
    <col min="6148" max="6148" width="18.6640625" style="5" customWidth="1"/>
    <col min="6149" max="6149" width="20.6640625" style="5" customWidth="1"/>
    <col min="6150" max="6150" width="2.6640625" style="5" customWidth="1"/>
    <col min="6151" max="6400" width="11.44140625" style="5"/>
    <col min="6401" max="6401" width="31.6640625" style="5" customWidth="1"/>
    <col min="6402" max="6402" width="15.6640625" style="5" customWidth="1"/>
    <col min="6403" max="6403" width="25.6640625" style="5" customWidth="1"/>
    <col min="6404" max="6404" width="18.6640625" style="5" customWidth="1"/>
    <col min="6405" max="6405" width="20.6640625" style="5" customWidth="1"/>
    <col min="6406" max="6406" width="2.6640625" style="5" customWidth="1"/>
    <col min="6407" max="6656" width="11.44140625" style="5"/>
    <col min="6657" max="6657" width="31.6640625" style="5" customWidth="1"/>
    <col min="6658" max="6658" width="15.6640625" style="5" customWidth="1"/>
    <col min="6659" max="6659" width="25.6640625" style="5" customWidth="1"/>
    <col min="6660" max="6660" width="18.6640625" style="5" customWidth="1"/>
    <col min="6661" max="6661" width="20.6640625" style="5" customWidth="1"/>
    <col min="6662" max="6662" width="2.6640625" style="5" customWidth="1"/>
    <col min="6663" max="6912" width="11.44140625" style="5"/>
    <col min="6913" max="6913" width="31.6640625" style="5" customWidth="1"/>
    <col min="6914" max="6914" width="15.6640625" style="5" customWidth="1"/>
    <col min="6915" max="6915" width="25.6640625" style="5" customWidth="1"/>
    <col min="6916" max="6916" width="18.6640625" style="5" customWidth="1"/>
    <col min="6917" max="6917" width="20.6640625" style="5" customWidth="1"/>
    <col min="6918" max="6918" width="2.6640625" style="5" customWidth="1"/>
    <col min="6919" max="7168" width="11.44140625" style="5"/>
    <col min="7169" max="7169" width="31.6640625" style="5" customWidth="1"/>
    <col min="7170" max="7170" width="15.6640625" style="5" customWidth="1"/>
    <col min="7171" max="7171" width="25.6640625" style="5" customWidth="1"/>
    <col min="7172" max="7172" width="18.6640625" style="5" customWidth="1"/>
    <col min="7173" max="7173" width="20.6640625" style="5" customWidth="1"/>
    <col min="7174" max="7174" width="2.6640625" style="5" customWidth="1"/>
    <col min="7175" max="7424" width="11.44140625" style="5"/>
    <col min="7425" max="7425" width="31.6640625" style="5" customWidth="1"/>
    <col min="7426" max="7426" width="15.6640625" style="5" customWidth="1"/>
    <col min="7427" max="7427" width="25.6640625" style="5" customWidth="1"/>
    <col min="7428" max="7428" width="18.6640625" style="5" customWidth="1"/>
    <col min="7429" max="7429" width="20.6640625" style="5" customWidth="1"/>
    <col min="7430" max="7430" width="2.6640625" style="5" customWidth="1"/>
    <col min="7431" max="7680" width="11.44140625" style="5"/>
    <col min="7681" max="7681" width="31.6640625" style="5" customWidth="1"/>
    <col min="7682" max="7682" width="15.6640625" style="5" customWidth="1"/>
    <col min="7683" max="7683" width="25.6640625" style="5" customWidth="1"/>
    <col min="7684" max="7684" width="18.6640625" style="5" customWidth="1"/>
    <col min="7685" max="7685" width="20.6640625" style="5" customWidth="1"/>
    <col min="7686" max="7686" width="2.6640625" style="5" customWidth="1"/>
    <col min="7687" max="7936" width="11.44140625" style="5"/>
    <col min="7937" max="7937" width="31.6640625" style="5" customWidth="1"/>
    <col min="7938" max="7938" width="15.6640625" style="5" customWidth="1"/>
    <col min="7939" max="7939" width="25.6640625" style="5" customWidth="1"/>
    <col min="7940" max="7940" width="18.6640625" style="5" customWidth="1"/>
    <col min="7941" max="7941" width="20.6640625" style="5" customWidth="1"/>
    <col min="7942" max="7942" width="2.6640625" style="5" customWidth="1"/>
    <col min="7943" max="8192" width="11.44140625" style="5"/>
    <col min="8193" max="8193" width="31.6640625" style="5" customWidth="1"/>
    <col min="8194" max="8194" width="15.6640625" style="5" customWidth="1"/>
    <col min="8195" max="8195" width="25.6640625" style="5" customWidth="1"/>
    <col min="8196" max="8196" width="18.6640625" style="5" customWidth="1"/>
    <col min="8197" max="8197" width="20.6640625" style="5" customWidth="1"/>
    <col min="8198" max="8198" width="2.6640625" style="5" customWidth="1"/>
    <col min="8199" max="8448" width="11.44140625" style="5"/>
    <col min="8449" max="8449" width="31.6640625" style="5" customWidth="1"/>
    <col min="8450" max="8450" width="15.6640625" style="5" customWidth="1"/>
    <col min="8451" max="8451" width="25.6640625" style="5" customWidth="1"/>
    <col min="8452" max="8452" width="18.6640625" style="5" customWidth="1"/>
    <col min="8453" max="8453" width="20.6640625" style="5" customWidth="1"/>
    <col min="8454" max="8454" width="2.6640625" style="5" customWidth="1"/>
    <col min="8455" max="8704" width="11.44140625" style="5"/>
    <col min="8705" max="8705" width="31.6640625" style="5" customWidth="1"/>
    <col min="8706" max="8706" width="15.6640625" style="5" customWidth="1"/>
    <col min="8707" max="8707" width="25.6640625" style="5" customWidth="1"/>
    <col min="8708" max="8708" width="18.6640625" style="5" customWidth="1"/>
    <col min="8709" max="8709" width="20.6640625" style="5" customWidth="1"/>
    <col min="8710" max="8710" width="2.6640625" style="5" customWidth="1"/>
    <col min="8711" max="8960" width="11.44140625" style="5"/>
    <col min="8961" max="8961" width="31.6640625" style="5" customWidth="1"/>
    <col min="8962" max="8962" width="15.6640625" style="5" customWidth="1"/>
    <col min="8963" max="8963" width="25.6640625" style="5" customWidth="1"/>
    <col min="8964" max="8964" width="18.6640625" style="5" customWidth="1"/>
    <col min="8965" max="8965" width="20.6640625" style="5" customWidth="1"/>
    <col min="8966" max="8966" width="2.6640625" style="5" customWidth="1"/>
    <col min="8967" max="9216" width="11.44140625" style="5"/>
    <col min="9217" max="9217" width="31.6640625" style="5" customWidth="1"/>
    <col min="9218" max="9218" width="15.6640625" style="5" customWidth="1"/>
    <col min="9219" max="9219" width="25.6640625" style="5" customWidth="1"/>
    <col min="9220" max="9220" width="18.6640625" style="5" customWidth="1"/>
    <col min="9221" max="9221" width="20.6640625" style="5" customWidth="1"/>
    <col min="9222" max="9222" width="2.6640625" style="5" customWidth="1"/>
    <col min="9223" max="9472" width="11.44140625" style="5"/>
    <col min="9473" max="9473" width="31.6640625" style="5" customWidth="1"/>
    <col min="9474" max="9474" width="15.6640625" style="5" customWidth="1"/>
    <col min="9475" max="9475" width="25.6640625" style="5" customWidth="1"/>
    <col min="9476" max="9476" width="18.6640625" style="5" customWidth="1"/>
    <col min="9477" max="9477" width="20.6640625" style="5" customWidth="1"/>
    <col min="9478" max="9478" width="2.6640625" style="5" customWidth="1"/>
    <col min="9479" max="9728" width="11.44140625" style="5"/>
    <col min="9729" max="9729" width="31.6640625" style="5" customWidth="1"/>
    <col min="9730" max="9730" width="15.6640625" style="5" customWidth="1"/>
    <col min="9731" max="9731" width="25.6640625" style="5" customWidth="1"/>
    <col min="9732" max="9732" width="18.6640625" style="5" customWidth="1"/>
    <col min="9733" max="9733" width="20.6640625" style="5" customWidth="1"/>
    <col min="9734" max="9734" width="2.6640625" style="5" customWidth="1"/>
    <col min="9735" max="9984" width="11.44140625" style="5"/>
    <col min="9985" max="9985" width="31.6640625" style="5" customWidth="1"/>
    <col min="9986" max="9986" width="15.6640625" style="5" customWidth="1"/>
    <col min="9987" max="9987" width="25.6640625" style="5" customWidth="1"/>
    <col min="9988" max="9988" width="18.6640625" style="5" customWidth="1"/>
    <col min="9989" max="9989" width="20.6640625" style="5" customWidth="1"/>
    <col min="9990" max="9990" width="2.6640625" style="5" customWidth="1"/>
    <col min="9991" max="10240" width="11.44140625" style="5"/>
    <col min="10241" max="10241" width="31.6640625" style="5" customWidth="1"/>
    <col min="10242" max="10242" width="15.6640625" style="5" customWidth="1"/>
    <col min="10243" max="10243" width="25.6640625" style="5" customWidth="1"/>
    <col min="10244" max="10244" width="18.6640625" style="5" customWidth="1"/>
    <col min="10245" max="10245" width="20.6640625" style="5" customWidth="1"/>
    <col min="10246" max="10246" width="2.6640625" style="5" customWidth="1"/>
    <col min="10247" max="10496" width="11.44140625" style="5"/>
    <col min="10497" max="10497" width="31.6640625" style="5" customWidth="1"/>
    <col min="10498" max="10498" width="15.6640625" style="5" customWidth="1"/>
    <col min="10499" max="10499" width="25.6640625" style="5" customWidth="1"/>
    <col min="10500" max="10500" width="18.6640625" style="5" customWidth="1"/>
    <col min="10501" max="10501" width="20.6640625" style="5" customWidth="1"/>
    <col min="10502" max="10502" width="2.6640625" style="5" customWidth="1"/>
    <col min="10503" max="10752" width="11.44140625" style="5"/>
    <col min="10753" max="10753" width="31.6640625" style="5" customWidth="1"/>
    <col min="10754" max="10754" width="15.6640625" style="5" customWidth="1"/>
    <col min="10755" max="10755" width="25.6640625" style="5" customWidth="1"/>
    <col min="10756" max="10756" width="18.6640625" style="5" customWidth="1"/>
    <col min="10757" max="10757" width="20.6640625" style="5" customWidth="1"/>
    <col min="10758" max="10758" width="2.6640625" style="5" customWidth="1"/>
    <col min="10759" max="11008" width="11.44140625" style="5"/>
    <col min="11009" max="11009" width="31.6640625" style="5" customWidth="1"/>
    <col min="11010" max="11010" width="15.6640625" style="5" customWidth="1"/>
    <col min="11011" max="11011" width="25.6640625" style="5" customWidth="1"/>
    <col min="11012" max="11012" width="18.6640625" style="5" customWidth="1"/>
    <col min="11013" max="11013" width="20.6640625" style="5" customWidth="1"/>
    <col min="11014" max="11014" width="2.6640625" style="5" customWidth="1"/>
    <col min="11015" max="11264" width="11.44140625" style="5"/>
    <col min="11265" max="11265" width="31.6640625" style="5" customWidth="1"/>
    <col min="11266" max="11266" width="15.6640625" style="5" customWidth="1"/>
    <col min="11267" max="11267" width="25.6640625" style="5" customWidth="1"/>
    <col min="11268" max="11268" width="18.6640625" style="5" customWidth="1"/>
    <col min="11269" max="11269" width="20.6640625" style="5" customWidth="1"/>
    <col min="11270" max="11270" width="2.6640625" style="5" customWidth="1"/>
    <col min="11271" max="11520" width="11.44140625" style="5"/>
    <col min="11521" max="11521" width="31.6640625" style="5" customWidth="1"/>
    <col min="11522" max="11522" width="15.6640625" style="5" customWidth="1"/>
    <col min="11523" max="11523" width="25.6640625" style="5" customWidth="1"/>
    <col min="11524" max="11524" width="18.6640625" style="5" customWidth="1"/>
    <col min="11525" max="11525" width="20.6640625" style="5" customWidth="1"/>
    <col min="11526" max="11526" width="2.6640625" style="5" customWidth="1"/>
    <col min="11527" max="11776" width="11.44140625" style="5"/>
    <col min="11777" max="11777" width="31.6640625" style="5" customWidth="1"/>
    <col min="11778" max="11778" width="15.6640625" style="5" customWidth="1"/>
    <col min="11779" max="11779" width="25.6640625" style="5" customWidth="1"/>
    <col min="11780" max="11780" width="18.6640625" style="5" customWidth="1"/>
    <col min="11781" max="11781" width="20.6640625" style="5" customWidth="1"/>
    <col min="11782" max="11782" width="2.6640625" style="5" customWidth="1"/>
    <col min="11783" max="12032" width="11.44140625" style="5"/>
    <col min="12033" max="12033" width="31.6640625" style="5" customWidth="1"/>
    <col min="12034" max="12034" width="15.6640625" style="5" customWidth="1"/>
    <col min="12035" max="12035" width="25.6640625" style="5" customWidth="1"/>
    <col min="12036" max="12036" width="18.6640625" style="5" customWidth="1"/>
    <col min="12037" max="12037" width="20.6640625" style="5" customWidth="1"/>
    <col min="12038" max="12038" width="2.6640625" style="5" customWidth="1"/>
    <col min="12039" max="12288" width="11.44140625" style="5"/>
    <col min="12289" max="12289" width="31.6640625" style="5" customWidth="1"/>
    <col min="12290" max="12290" width="15.6640625" style="5" customWidth="1"/>
    <col min="12291" max="12291" width="25.6640625" style="5" customWidth="1"/>
    <col min="12292" max="12292" width="18.6640625" style="5" customWidth="1"/>
    <col min="12293" max="12293" width="20.6640625" style="5" customWidth="1"/>
    <col min="12294" max="12294" width="2.6640625" style="5" customWidth="1"/>
    <col min="12295" max="12544" width="11.44140625" style="5"/>
    <col min="12545" max="12545" width="31.6640625" style="5" customWidth="1"/>
    <col min="12546" max="12546" width="15.6640625" style="5" customWidth="1"/>
    <col min="12547" max="12547" width="25.6640625" style="5" customWidth="1"/>
    <col min="12548" max="12548" width="18.6640625" style="5" customWidth="1"/>
    <col min="12549" max="12549" width="20.6640625" style="5" customWidth="1"/>
    <col min="12550" max="12550" width="2.6640625" style="5" customWidth="1"/>
    <col min="12551" max="12800" width="11.44140625" style="5"/>
    <col min="12801" max="12801" width="31.6640625" style="5" customWidth="1"/>
    <col min="12802" max="12802" width="15.6640625" style="5" customWidth="1"/>
    <col min="12803" max="12803" width="25.6640625" style="5" customWidth="1"/>
    <col min="12804" max="12804" width="18.6640625" style="5" customWidth="1"/>
    <col min="12805" max="12805" width="20.6640625" style="5" customWidth="1"/>
    <col min="12806" max="12806" width="2.6640625" style="5" customWidth="1"/>
    <col min="12807" max="13056" width="11.44140625" style="5"/>
    <col min="13057" max="13057" width="31.6640625" style="5" customWidth="1"/>
    <col min="13058" max="13058" width="15.6640625" style="5" customWidth="1"/>
    <col min="13059" max="13059" width="25.6640625" style="5" customWidth="1"/>
    <col min="13060" max="13060" width="18.6640625" style="5" customWidth="1"/>
    <col min="13061" max="13061" width="20.6640625" style="5" customWidth="1"/>
    <col min="13062" max="13062" width="2.6640625" style="5" customWidth="1"/>
    <col min="13063" max="13312" width="11.44140625" style="5"/>
    <col min="13313" max="13313" width="31.6640625" style="5" customWidth="1"/>
    <col min="13314" max="13314" width="15.6640625" style="5" customWidth="1"/>
    <col min="13315" max="13315" width="25.6640625" style="5" customWidth="1"/>
    <col min="13316" max="13316" width="18.6640625" style="5" customWidth="1"/>
    <col min="13317" max="13317" width="20.6640625" style="5" customWidth="1"/>
    <col min="13318" max="13318" width="2.6640625" style="5" customWidth="1"/>
    <col min="13319" max="13568" width="11.44140625" style="5"/>
    <col min="13569" max="13569" width="31.6640625" style="5" customWidth="1"/>
    <col min="13570" max="13570" width="15.6640625" style="5" customWidth="1"/>
    <col min="13571" max="13571" width="25.6640625" style="5" customWidth="1"/>
    <col min="13572" max="13572" width="18.6640625" style="5" customWidth="1"/>
    <col min="13573" max="13573" width="20.6640625" style="5" customWidth="1"/>
    <col min="13574" max="13574" width="2.6640625" style="5" customWidth="1"/>
    <col min="13575" max="13824" width="11.44140625" style="5"/>
    <col min="13825" max="13825" width="31.6640625" style="5" customWidth="1"/>
    <col min="13826" max="13826" width="15.6640625" style="5" customWidth="1"/>
    <col min="13827" max="13827" width="25.6640625" style="5" customWidth="1"/>
    <col min="13828" max="13828" width="18.6640625" style="5" customWidth="1"/>
    <col min="13829" max="13829" width="20.6640625" style="5" customWidth="1"/>
    <col min="13830" max="13830" width="2.6640625" style="5" customWidth="1"/>
    <col min="13831" max="14080" width="11.44140625" style="5"/>
    <col min="14081" max="14081" width="31.6640625" style="5" customWidth="1"/>
    <col min="14082" max="14082" width="15.6640625" style="5" customWidth="1"/>
    <col min="14083" max="14083" width="25.6640625" style="5" customWidth="1"/>
    <col min="14084" max="14084" width="18.6640625" style="5" customWidth="1"/>
    <col min="14085" max="14085" width="20.6640625" style="5" customWidth="1"/>
    <col min="14086" max="14086" width="2.6640625" style="5" customWidth="1"/>
    <col min="14087" max="14336" width="11.44140625" style="5"/>
    <col min="14337" max="14337" width="31.6640625" style="5" customWidth="1"/>
    <col min="14338" max="14338" width="15.6640625" style="5" customWidth="1"/>
    <col min="14339" max="14339" width="25.6640625" style="5" customWidth="1"/>
    <col min="14340" max="14340" width="18.6640625" style="5" customWidth="1"/>
    <col min="14341" max="14341" width="20.6640625" style="5" customWidth="1"/>
    <col min="14342" max="14342" width="2.6640625" style="5" customWidth="1"/>
    <col min="14343" max="14592" width="11.44140625" style="5"/>
    <col min="14593" max="14593" width="31.6640625" style="5" customWidth="1"/>
    <col min="14594" max="14594" width="15.6640625" style="5" customWidth="1"/>
    <col min="14595" max="14595" width="25.6640625" style="5" customWidth="1"/>
    <col min="14596" max="14596" width="18.6640625" style="5" customWidth="1"/>
    <col min="14597" max="14597" width="20.6640625" style="5" customWidth="1"/>
    <col min="14598" max="14598" width="2.6640625" style="5" customWidth="1"/>
    <col min="14599" max="14848" width="11.44140625" style="5"/>
    <col min="14849" max="14849" width="31.6640625" style="5" customWidth="1"/>
    <col min="14850" max="14850" width="15.6640625" style="5" customWidth="1"/>
    <col min="14851" max="14851" width="25.6640625" style="5" customWidth="1"/>
    <col min="14852" max="14852" width="18.6640625" style="5" customWidth="1"/>
    <col min="14853" max="14853" width="20.6640625" style="5" customWidth="1"/>
    <col min="14854" max="14854" width="2.6640625" style="5" customWidth="1"/>
    <col min="14855" max="15104" width="11.44140625" style="5"/>
    <col min="15105" max="15105" width="31.6640625" style="5" customWidth="1"/>
    <col min="15106" max="15106" width="15.6640625" style="5" customWidth="1"/>
    <col min="15107" max="15107" width="25.6640625" style="5" customWidth="1"/>
    <col min="15108" max="15108" width="18.6640625" style="5" customWidth="1"/>
    <col min="15109" max="15109" width="20.6640625" style="5" customWidth="1"/>
    <col min="15110" max="15110" width="2.6640625" style="5" customWidth="1"/>
    <col min="15111" max="15360" width="11.44140625" style="5"/>
    <col min="15361" max="15361" width="31.6640625" style="5" customWidth="1"/>
    <col min="15362" max="15362" width="15.6640625" style="5" customWidth="1"/>
    <col min="15363" max="15363" width="25.6640625" style="5" customWidth="1"/>
    <col min="15364" max="15364" width="18.6640625" style="5" customWidth="1"/>
    <col min="15365" max="15365" width="20.6640625" style="5" customWidth="1"/>
    <col min="15366" max="15366" width="2.6640625" style="5" customWidth="1"/>
    <col min="15367" max="15616" width="11.44140625" style="5"/>
    <col min="15617" max="15617" width="31.6640625" style="5" customWidth="1"/>
    <col min="15618" max="15618" width="15.6640625" style="5" customWidth="1"/>
    <col min="15619" max="15619" width="25.6640625" style="5" customWidth="1"/>
    <col min="15620" max="15620" width="18.6640625" style="5" customWidth="1"/>
    <col min="15621" max="15621" width="20.6640625" style="5" customWidth="1"/>
    <col min="15622" max="15622" width="2.6640625" style="5" customWidth="1"/>
    <col min="15623" max="15872" width="11.44140625" style="5"/>
    <col min="15873" max="15873" width="31.6640625" style="5" customWidth="1"/>
    <col min="15874" max="15874" width="15.6640625" style="5" customWidth="1"/>
    <col min="15875" max="15875" width="25.6640625" style="5" customWidth="1"/>
    <col min="15876" max="15876" width="18.6640625" style="5" customWidth="1"/>
    <col min="15877" max="15877" width="20.6640625" style="5" customWidth="1"/>
    <col min="15878" max="15878" width="2.6640625" style="5" customWidth="1"/>
    <col min="15879" max="16128" width="11.44140625" style="5"/>
    <col min="16129" max="16129" width="31.6640625" style="5" customWidth="1"/>
    <col min="16130" max="16130" width="15.6640625" style="5" customWidth="1"/>
    <col min="16131" max="16131" width="25.6640625" style="5" customWidth="1"/>
    <col min="16132" max="16132" width="18.6640625" style="5" customWidth="1"/>
    <col min="16133" max="16133" width="20.6640625" style="5" customWidth="1"/>
    <col min="16134" max="16134" width="2.6640625" style="5" customWidth="1"/>
    <col min="16135" max="16384" width="11.44140625" style="5"/>
  </cols>
  <sheetData>
    <row r="1" spans="1:6" ht="40.5" customHeight="1" thickBot="1">
      <c r="A1" s="99" t="s">
        <v>1</v>
      </c>
      <c r="B1" s="100"/>
      <c r="C1" s="100"/>
      <c r="D1" s="100"/>
      <c r="E1" s="101"/>
      <c r="F1" s="4"/>
    </row>
    <row r="2" spans="1:6" ht="15.6">
      <c r="A2" s="102" t="s">
        <v>2</v>
      </c>
      <c r="B2" s="103"/>
      <c r="C2" s="103"/>
      <c r="D2" s="103"/>
      <c r="E2" s="103"/>
      <c r="F2" s="104"/>
    </row>
    <row r="3" spans="1:6" ht="16.2" thickBot="1">
      <c r="A3" s="105" t="s">
        <v>3</v>
      </c>
      <c r="B3" s="106"/>
      <c r="C3" s="106"/>
      <c r="D3" s="106"/>
      <c r="E3" s="106"/>
      <c r="F3" s="107"/>
    </row>
    <row r="4" spans="1:6">
      <c r="A4" s="108" t="s">
        <v>4</v>
      </c>
      <c r="B4" s="109"/>
      <c r="C4" s="110"/>
      <c r="D4" s="111"/>
      <c r="E4" s="111"/>
      <c r="F4" s="112"/>
    </row>
    <row r="5" spans="1:6">
      <c r="A5" s="113" t="s">
        <v>5</v>
      </c>
      <c r="B5" s="114"/>
      <c r="C5" s="92"/>
      <c r="D5" s="93"/>
      <c r="E5" s="93"/>
      <c r="F5" s="94"/>
    </row>
    <row r="6" spans="1:6" ht="12.75" customHeight="1">
      <c r="A6" s="90" t="s">
        <v>6</v>
      </c>
      <c r="B6" s="91"/>
      <c r="C6" s="6" t="s">
        <v>7</v>
      </c>
      <c r="D6" s="7"/>
      <c r="E6" s="7"/>
      <c r="F6" s="8"/>
    </row>
    <row r="7" spans="1:6">
      <c r="A7" s="90" t="s">
        <v>8</v>
      </c>
      <c r="B7" s="91"/>
      <c r="C7" s="92">
        <v>2024</v>
      </c>
      <c r="D7" s="93"/>
      <c r="E7" s="93"/>
      <c r="F7" s="94"/>
    </row>
    <row r="8" spans="1:6">
      <c r="A8" s="90" t="s">
        <v>9</v>
      </c>
      <c r="B8" s="91"/>
      <c r="C8" s="92"/>
      <c r="D8" s="93"/>
      <c r="E8" s="93"/>
      <c r="F8" s="94"/>
    </row>
    <row r="9" spans="1:6">
      <c r="A9" s="90" t="s">
        <v>10</v>
      </c>
      <c r="B9" s="91"/>
      <c r="C9" s="92"/>
      <c r="D9" s="93"/>
      <c r="E9" s="93"/>
      <c r="F9" s="94"/>
    </row>
    <row r="10" spans="1:6">
      <c r="A10" s="90" t="s">
        <v>11</v>
      </c>
      <c r="B10" s="91"/>
      <c r="C10" s="92"/>
      <c r="D10" s="93"/>
      <c r="E10" s="93"/>
      <c r="F10" s="94"/>
    </row>
    <row r="11" spans="1:6">
      <c r="A11" s="90" t="s">
        <v>10</v>
      </c>
      <c r="B11" s="91"/>
      <c r="C11" s="92"/>
      <c r="D11" s="93"/>
      <c r="E11" s="93"/>
      <c r="F11" s="94"/>
    </row>
    <row r="12" spans="1:6" ht="13.8" thickBot="1">
      <c r="A12" s="9"/>
      <c r="B12" s="10"/>
      <c r="C12" s="10"/>
      <c r="D12" s="10"/>
      <c r="E12" s="10"/>
      <c r="F12" s="11"/>
    </row>
    <row r="13" spans="1:6" ht="13.8" thickBot="1">
      <c r="A13" s="95" t="s">
        <v>12</v>
      </c>
      <c r="B13" s="96"/>
      <c r="C13" s="10"/>
      <c r="D13" s="10"/>
      <c r="E13" s="10"/>
      <c r="F13" s="11"/>
    </row>
    <row r="14" spans="1:6" ht="18" customHeight="1" thickBot="1">
      <c r="A14" s="12" t="s">
        <v>13</v>
      </c>
      <c r="B14" s="13">
        <v>47</v>
      </c>
      <c r="C14" s="97" t="s">
        <v>14</v>
      </c>
      <c r="D14" s="98"/>
      <c r="E14" s="98"/>
      <c r="F14" s="14"/>
    </row>
    <row r="15" spans="1:6" ht="18" thickBot="1">
      <c r="A15" s="15" t="s">
        <v>15</v>
      </c>
      <c r="B15" s="16">
        <v>0.1</v>
      </c>
      <c r="C15" s="17" t="s">
        <v>16</v>
      </c>
      <c r="D15" s="84">
        <f>+(B16*(1-B16)*((B18)^2/(B15)^2))</f>
        <v>24.34989108685869</v>
      </c>
      <c r="E15" s="85"/>
      <c r="F15" s="18"/>
    </row>
    <row r="16" spans="1:6" ht="16.2" thickBot="1">
      <c r="A16" s="15" t="s">
        <v>17</v>
      </c>
      <c r="B16" s="19">
        <v>0.1</v>
      </c>
      <c r="C16" s="10"/>
      <c r="D16" s="10"/>
      <c r="E16" s="20"/>
      <c r="F16" s="21"/>
    </row>
    <row r="17" spans="1:8" ht="21.6" thickBot="1">
      <c r="A17" s="15" t="s">
        <v>18</v>
      </c>
      <c r="B17" s="19">
        <v>0.9</v>
      </c>
      <c r="C17" s="22" t="s">
        <v>19</v>
      </c>
      <c r="D17" s="86">
        <f>+D15/(1+(D15/B14))</f>
        <v>16.039896678877252</v>
      </c>
      <c r="E17" s="87"/>
      <c r="F17" s="11"/>
    </row>
    <row r="18" spans="1:8" ht="16.2" thickBot="1">
      <c r="A18" s="23" t="s">
        <v>20</v>
      </c>
      <c r="B18" s="24">
        <f>NORMSINV(1-((1-B17)/2))</f>
        <v>1.6448536269514715</v>
      </c>
      <c r="C18" s="10"/>
      <c r="D18" s="10"/>
      <c r="E18" s="10"/>
      <c r="F18" s="11"/>
    </row>
    <row r="19" spans="1:8" ht="15.6">
      <c r="A19" s="25"/>
      <c r="B19" s="26"/>
      <c r="C19" s="10"/>
      <c r="D19" s="10"/>
      <c r="E19" s="10"/>
      <c r="F19" s="11"/>
    </row>
    <row r="20" spans="1:8">
      <c r="A20" s="9"/>
      <c r="B20" s="10"/>
      <c r="C20" s="10"/>
      <c r="D20" s="10"/>
      <c r="E20" s="10"/>
      <c r="F20" s="11"/>
    </row>
    <row r="21" spans="1:8" ht="17.25" customHeight="1">
      <c r="A21" s="88" t="s">
        <v>21</v>
      </c>
      <c r="B21" s="89"/>
      <c r="C21" s="10"/>
      <c r="D21" s="10"/>
      <c r="E21" s="10"/>
      <c r="F21" s="11"/>
      <c r="H21" s="34"/>
    </row>
    <row r="22" spans="1:8">
      <c r="A22" s="9"/>
      <c r="B22" s="10"/>
      <c r="C22" s="10"/>
      <c r="D22" s="10"/>
      <c r="E22" s="10"/>
      <c r="F22" s="11"/>
    </row>
    <row r="23" spans="1:8">
      <c r="A23" s="9"/>
      <c r="B23" s="10"/>
      <c r="C23" s="10" t="s">
        <v>22</v>
      </c>
      <c r="D23" s="10"/>
      <c r="E23" s="10"/>
      <c r="F23" s="11"/>
    </row>
    <row r="24" spans="1:8">
      <c r="A24" s="9"/>
      <c r="B24" s="10"/>
      <c r="C24" s="10" t="s">
        <v>23</v>
      </c>
      <c r="D24" s="10"/>
      <c r="E24" s="10"/>
      <c r="F24" s="11"/>
    </row>
    <row r="25" spans="1:8">
      <c r="A25" s="9"/>
      <c r="B25" s="10"/>
      <c r="C25" s="10" t="s">
        <v>24</v>
      </c>
      <c r="D25" s="10"/>
      <c r="E25" s="10"/>
      <c r="F25" s="11"/>
    </row>
    <row r="26" spans="1:8" ht="15.75" customHeight="1">
      <c r="A26" s="88" t="s">
        <v>25</v>
      </c>
      <c r="B26" s="89"/>
      <c r="C26" s="10" t="s">
        <v>26</v>
      </c>
      <c r="D26" s="10"/>
      <c r="E26" s="10"/>
      <c r="F26" s="11"/>
    </row>
    <row r="27" spans="1:8" ht="15.6">
      <c r="A27" s="27"/>
      <c r="B27" s="10"/>
      <c r="C27" s="10" t="s">
        <v>27</v>
      </c>
      <c r="D27" s="10"/>
      <c r="E27" s="10"/>
      <c r="F27" s="11"/>
    </row>
    <row r="28" spans="1:8">
      <c r="A28" s="9"/>
      <c r="B28" s="10"/>
      <c r="C28" s="10"/>
      <c r="D28" s="10"/>
      <c r="E28" s="10"/>
      <c r="F28" s="11"/>
    </row>
    <row r="29" spans="1:8">
      <c r="A29" s="9"/>
      <c r="B29" s="10"/>
      <c r="C29" s="10"/>
      <c r="D29" s="10"/>
      <c r="E29" s="10"/>
      <c r="F29" s="11"/>
    </row>
    <row r="30" spans="1:8" ht="13.8" thickBot="1">
      <c r="A30" s="28"/>
      <c r="B30" s="29"/>
      <c r="C30" s="29"/>
      <c r="D30" s="29"/>
      <c r="E30" s="29"/>
      <c r="F30" s="30"/>
    </row>
    <row r="31" spans="1:8">
      <c r="A31" s="31" t="s">
        <v>28</v>
      </c>
      <c r="B31" s="32"/>
      <c r="C31" s="32"/>
      <c r="D31" s="32"/>
      <c r="E31" s="32"/>
      <c r="F31" s="32"/>
    </row>
  </sheetData>
  <sheetProtection selectLockedCells="1"/>
  <mergeCells count="24">
    <mergeCell ref="A9:B9"/>
    <mergeCell ref="C9:F9"/>
    <mergeCell ref="A1:E1"/>
    <mergeCell ref="A2:F2"/>
    <mergeCell ref="A3:F3"/>
    <mergeCell ref="A4:B4"/>
    <mergeCell ref="C4:F4"/>
    <mergeCell ref="A5:B5"/>
    <mergeCell ref="C5:F5"/>
    <mergeCell ref="A6:B6"/>
    <mergeCell ref="A7:B7"/>
    <mergeCell ref="C7:F7"/>
    <mergeCell ref="A8:B8"/>
    <mergeCell ref="C8:F8"/>
    <mergeCell ref="D15:E15"/>
    <mergeCell ref="D17:E17"/>
    <mergeCell ref="A21:B21"/>
    <mergeCell ref="A26:B26"/>
    <mergeCell ref="A10:B10"/>
    <mergeCell ref="C10:F10"/>
    <mergeCell ref="A11:B11"/>
    <mergeCell ref="C11:F11"/>
    <mergeCell ref="A13:B13"/>
    <mergeCell ref="C14:E14"/>
  </mergeCells>
  <printOptions horizontalCentered="1" verticalCentered="1"/>
  <pageMargins left="0.39370078740157483" right="0.39370078740157483" top="0.98425196850393704" bottom="0.78740157480314965" header="0" footer="0"/>
  <pageSetup scale="87"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15022-9F48-4CA2-8279-F47D391F6F98}">
  <sheetPr codeName="Hoja3"/>
  <dimension ref="A1:R493"/>
  <sheetViews>
    <sheetView showGridLines="0" view="pageBreakPreview" topLeftCell="B27" zoomScale="73" zoomScaleNormal="87" zoomScaleSheetLayoutView="73" workbookViewId="0">
      <selection activeCell="B52" sqref="B52"/>
    </sheetView>
  </sheetViews>
  <sheetFormatPr baseColWidth="10" defaultRowHeight="14.4"/>
  <cols>
    <col min="1" max="1" width="14.5546875" bestFit="1" customWidth="1"/>
    <col min="2" max="2" width="255.6640625" bestFit="1" customWidth="1"/>
    <col min="3" max="3" width="101.6640625" style="36" bestFit="1" customWidth="1"/>
    <col min="4" max="4" width="18.44140625" style="35" customWidth="1"/>
    <col min="5" max="5" width="63.33203125" style="35" bestFit="1" customWidth="1"/>
  </cols>
  <sheetData>
    <row r="1" spans="1:18" s="39" customFormat="1" ht="39.9" customHeight="1">
      <c r="A1" s="115" t="s">
        <v>30</v>
      </c>
      <c r="B1" s="115"/>
      <c r="C1" s="115"/>
      <c r="D1" s="37"/>
      <c r="E1" s="38"/>
      <c r="Q1" s="43"/>
      <c r="R1" s="43"/>
    </row>
    <row r="2" spans="1:18" ht="16.2" thickBot="1">
      <c r="A2" s="40" t="s">
        <v>0</v>
      </c>
      <c r="B2" s="40" t="s">
        <v>48</v>
      </c>
      <c r="C2" s="40" t="s">
        <v>32</v>
      </c>
      <c r="D2" s="1"/>
      <c r="E2" s="1"/>
      <c r="Q2" s="42"/>
      <c r="R2" s="42"/>
    </row>
    <row r="3" spans="1:18">
      <c r="A3" s="33">
        <v>1</v>
      </c>
      <c r="B3" s="79" t="s">
        <v>221</v>
      </c>
      <c r="C3" s="81" t="s">
        <v>237</v>
      </c>
      <c r="Q3" s="42"/>
      <c r="R3" s="42"/>
    </row>
    <row r="4" spans="1:18">
      <c r="A4" s="33">
        <v>2</v>
      </c>
      <c r="B4" s="64" t="s">
        <v>221</v>
      </c>
      <c r="C4" s="67" t="s">
        <v>238</v>
      </c>
      <c r="Q4" s="42"/>
      <c r="R4" s="42"/>
    </row>
    <row r="5" spans="1:18">
      <c r="A5" s="33">
        <v>3</v>
      </c>
      <c r="B5" s="65" t="s">
        <v>221</v>
      </c>
      <c r="C5" s="68" t="s">
        <v>239</v>
      </c>
      <c r="Q5" s="42"/>
      <c r="R5" s="42"/>
    </row>
    <row r="6" spans="1:18">
      <c r="A6" s="33">
        <v>4</v>
      </c>
      <c r="B6" s="64" t="s">
        <v>221</v>
      </c>
      <c r="C6" s="67" t="s">
        <v>240</v>
      </c>
      <c r="Q6" s="42"/>
      <c r="R6" s="42"/>
    </row>
    <row r="7" spans="1:18">
      <c r="A7" s="33">
        <v>5</v>
      </c>
      <c r="B7" s="65" t="s">
        <v>221</v>
      </c>
      <c r="C7" s="68" t="s">
        <v>241</v>
      </c>
      <c r="Q7" s="42"/>
      <c r="R7" s="42"/>
    </row>
    <row r="8" spans="1:18">
      <c r="A8" s="33">
        <v>6</v>
      </c>
      <c r="B8" s="64" t="s">
        <v>221</v>
      </c>
      <c r="C8" s="67" t="s">
        <v>242</v>
      </c>
      <c r="Q8" s="42"/>
      <c r="R8" s="42"/>
    </row>
    <row r="9" spans="1:18">
      <c r="A9" s="33">
        <v>7</v>
      </c>
      <c r="B9" s="65" t="s">
        <v>221</v>
      </c>
      <c r="C9" s="68" t="s">
        <v>243</v>
      </c>
      <c r="Q9" s="42"/>
      <c r="R9" s="42"/>
    </row>
    <row r="10" spans="1:18">
      <c r="A10" s="33">
        <v>8</v>
      </c>
      <c r="B10" s="64" t="s">
        <v>223</v>
      </c>
      <c r="C10" s="67" t="s">
        <v>244</v>
      </c>
    </row>
    <row r="11" spans="1:18">
      <c r="A11" s="33">
        <v>9</v>
      </c>
      <c r="B11" s="65" t="s">
        <v>223</v>
      </c>
      <c r="C11" s="68" t="s">
        <v>245</v>
      </c>
    </row>
    <row r="12" spans="1:18">
      <c r="A12" s="33">
        <v>10</v>
      </c>
      <c r="B12" s="64" t="s">
        <v>223</v>
      </c>
      <c r="C12" s="67" t="s">
        <v>246</v>
      </c>
    </row>
    <row r="13" spans="1:18">
      <c r="A13" s="33">
        <v>11</v>
      </c>
      <c r="B13" s="65" t="s">
        <v>224</v>
      </c>
      <c r="C13" s="68" t="s">
        <v>247</v>
      </c>
    </row>
    <row r="14" spans="1:18">
      <c r="A14" s="33">
        <v>12</v>
      </c>
      <c r="B14" s="64" t="s">
        <v>225</v>
      </c>
      <c r="C14" s="67" t="s">
        <v>248</v>
      </c>
    </row>
    <row r="15" spans="1:18">
      <c r="A15" s="33">
        <v>13</v>
      </c>
      <c r="B15" s="65" t="s">
        <v>44</v>
      </c>
      <c r="C15" s="68" t="s">
        <v>249</v>
      </c>
    </row>
    <row r="16" spans="1:18">
      <c r="A16" s="33">
        <v>14</v>
      </c>
      <c r="B16" s="64" t="s">
        <v>44</v>
      </c>
      <c r="C16" s="67" t="s">
        <v>250</v>
      </c>
    </row>
    <row r="17" spans="1:3">
      <c r="A17" s="33">
        <v>15</v>
      </c>
      <c r="B17" s="65" t="s">
        <v>226</v>
      </c>
      <c r="C17" s="68" t="s">
        <v>251</v>
      </c>
    </row>
    <row r="18" spans="1:3">
      <c r="A18" s="33">
        <v>16</v>
      </c>
      <c r="B18" s="64" t="s">
        <v>226</v>
      </c>
      <c r="C18" s="67" t="s">
        <v>252</v>
      </c>
    </row>
    <row r="19" spans="1:3">
      <c r="A19" s="33">
        <v>17</v>
      </c>
      <c r="B19" s="65" t="s">
        <v>227</v>
      </c>
      <c r="C19" s="68" t="s">
        <v>253</v>
      </c>
    </row>
    <row r="20" spans="1:3">
      <c r="A20" s="33">
        <v>18</v>
      </c>
      <c r="B20" s="64" t="s">
        <v>228</v>
      </c>
      <c r="C20" s="67" t="s">
        <v>254</v>
      </c>
    </row>
    <row r="21" spans="1:3">
      <c r="A21" s="33">
        <v>19</v>
      </c>
      <c r="B21" s="65" t="s">
        <v>229</v>
      </c>
      <c r="C21" s="68" t="s">
        <v>255</v>
      </c>
    </row>
    <row r="22" spans="1:3">
      <c r="A22" s="33">
        <v>20</v>
      </c>
      <c r="B22" s="64" t="s">
        <v>229</v>
      </c>
      <c r="C22" s="67" t="s">
        <v>256</v>
      </c>
    </row>
    <row r="23" spans="1:3">
      <c r="A23" s="33">
        <v>21</v>
      </c>
      <c r="B23" s="65" t="s">
        <v>229</v>
      </c>
      <c r="C23" s="68" t="s">
        <v>257</v>
      </c>
    </row>
    <row r="24" spans="1:3">
      <c r="A24" s="33">
        <v>22</v>
      </c>
      <c r="B24" s="64" t="s">
        <v>229</v>
      </c>
      <c r="C24" s="67" t="s">
        <v>258</v>
      </c>
    </row>
    <row r="25" spans="1:3">
      <c r="A25" s="33">
        <v>23</v>
      </c>
      <c r="B25" s="65" t="s">
        <v>229</v>
      </c>
      <c r="C25" s="68" t="s">
        <v>259</v>
      </c>
    </row>
    <row r="26" spans="1:3">
      <c r="A26" s="33">
        <v>24</v>
      </c>
      <c r="B26" s="64" t="s">
        <v>45</v>
      </c>
      <c r="C26" s="67" t="s">
        <v>260</v>
      </c>
    </row>
    <row r="27" spans="1:3">
      <c r="A27" s="33">
        <v>25</v>
      </c>
      <c r="B27" s="65" t="s">
        <v>45</v>
      </c>
      <c r="C27" s="68" t="s">
        <v>261</v>
      </c>
    </row>
    <row r="28" spans="1:3">
      <c r="A28" s="33">
        <v>26</v>
      </c>
      <c r="B28" s="64" t="s">
        <v>45</v>
      </c>
      <c r="C28" s="67" t="s">
        <v>262</v>
      </c>
    </row>
    <row r="29" spans="1:3">
      <c r="A29" s="33">
        <v>27</v>
      </c>
      <c r="B29" s="65" t="s">
        <v>230</v>
      </c>
      <c r="C29" s="68" t="s">
        <v>263</v>
      </c>
    </row>
    <row r="30" spans="1:3">
      <c r="A30" s="33">
        <v>28</v>
      </c>
      <c r="B30" s="64" t="s">
        <v>230</v>
      </c>
      <c r="C30" s="67" t="s">
        <v>264</v>
      </c>
    </row>
    <row r="31" spans="1:3">
      <c r="A31" s="33">
        <v>29</v>
      </c>
      <c r="B31" s="65" t="s">
        <v>230</v>
      </c>
      <c r="C31" s="68" t="s">
        <v>265</v>
      </c>
    </row>
    <row r="32" spans="1:3">
      <c r="A32" s="33">
        <v>30</v>
      </c>
      <c r="B32" s="64" t="s">
        <v>230</v>
      </c>
      <c r="C32" s="67" t="s">
        <v>266</v>
      </c>
    </row>
    <row r="33" spans="1:3">
      <c r="A33" s="33">
        <v>31</v>
      </c>
      <c r="B33" s="65" t="s">
        <v>230</v>
      </c>
      <c r="C33" s="68" t="s">
        <v>267</v>
      </c>
    </row>
    <row r="34" spans="1:3">
      <c r="A34" s="33">
        <v>32</v>
      </c>
      <c r="B34" s="64" t="s">
        <v>231</v>
      </c>
      <c r="C34" s="67" t="s">
        <v>268</v>
      </c>
    </row>
    <row r="35" spans="1:3">
      <c r="A35" s="33">
        <v>33</v>
      </c>
      <c r="B35" s="65" t="s">
        <v>231</v>
      </c>
      <c r="C35" s="68" t="s">
        <v>269</v>
      </c>
    </row>
    <row r="36" spans="1:3">
      <c r="A36" s="33">
        <v>34</v>
      </c>
      <c r="B36" s="64" t="s">
        <v>232</v>
      </c>
      <c r="C36" s="67" t="s">
        <v>270</v>
      </c>
    </row>
    <row r="37" spans="1:3">
      <c r="A37" s="33">
        <v>35</v>
      </c>
      <c r="B37" s="65" t="s">
        <v>232</v>
      </c>
      <c r="C37" s="68" t="s">
        <v>271</v>
      </c>
    </row>
    <row r="38" spans="1:3">
      <c r="A38" s="33">
        <v>36</v>
      </c>
      <c r="B38" s="64" t="s">
        <v>232</v>
      </c>
      <c r="C38" s="67" t="s">
        <v>272</v>
      </c>
    </row>
    <row r="39" spans="1:3">
      <c r="A39" s="33">
        <v>37</v>
      </c>
      <c r="B39" s="65" t="s">
        <v>233</v>
      </c>
      <c r="C39" s="68" t="s">
        <v>273</v>
      </c>
    </row>
    <row r="40" spans="1:3">
      <c r="A40" s="33">
        <v>38</v>
      </c>
      <c r="B40" s="64" t="s">
        <v>46</v>
      </c>
      <c r="C40" s="67" t="s">
        <v>274</v>
      </c>
    </row>
    <row r="41" spans="1:3">
      <c r="A41" s="33">
        <v>39</v>
      </c>
      <c r="B41" s="65" t="s">
        <v>47</v>
      </c>
      <c r="C41" s="68" t="s">
        <v>275</v>
      </c>
    </row>
    <row r="42" spans="1:3">
      <c r="A42" s="33">
        <v>40</v>
      </c>
      <c r="B42" s="64" t="s">
        <v>47</v>
      </c>
      <c r="C42" s="67" t="s">
        <v>276</v>
      </c>
    </row>
    <row r="43" spans="1:3">
      <c r="A43" s="33">
        <v>41</v>
      </c>
      <c r="B43" s="65" t="s">
        <v>234</v>
      </c>
      <c r="C43" s="68" t="s">
        <v>277</v>
      </c>
    </row>
    <row r="44" spans="1:3">
      <c r="A44" s="33">
        <v>42</v>
      </c>
      <c r="B44" s="64" t="s">
        <v>234</v>
      </c>
      <c r="C44" s="67" t="s">
        <v>278</v>
      </c>
    </row>
    <row r="45" spans="1:3">
      <c r="A45" s="33">
        <v>43</v>
      </c>
      <c r="B45" s="65" t="s">
        <v>234</v>
      </c>
      <c r="C45" s="68" t="s">
        <v>279</v>
      </c>
    </row>
    <row r="46" spans="1:3">
      <c r="A46" s="33">
        <v>44</v>
      </c>
      <c r="B46" s="64" t="s">
        <v>235</v>
      </c>
      <c r="C46" s="67" t="s">
        <v>280</v>
      </c>
    </row>
    <row r="47" spans="1:3" ht="15" thickBot="1">
      <c r="A47" s="33">
        <v>45</v>
      </c>
      <c r="B47" s="80" t="s">
        <v>236</v>
      </c>
      <c r="C47" s="82" t="s">
        <v>281</v>
      </c>
    </row>
    <row r="48" spans="1:3">
      <c r="A48" s="33"/>
      <c r="B48" s="64"/>
      <c r="C48" s="67"/>
    </row>
    <row r="49" spans="1:3">
      <c r="A49" s="33"/>
      <c r="B49" s="65"/>
      <c r="C49" s="68"/>
    </row>
    <row r="50" spans="1:3">
      <c r="A50" s="33"/>
      <c r="B50" s="64"/>
      <c r="C50" s="67"/>
    </row>
    <row r="51" spans="1:3">
      <c r="A51" s="33"/>
      <c r="B51" s="65"/>
      <c r="C51" s="68"/>
    </row>
    <row r="52" spans="1:3">
      <c r="A52" s="33"/>
      <c r="B52" s="64"/>
      <c r="C52" s="67"/>
    </row>
    <row r="53" spans="1:3">
      <c r="A53" s="33"/>
      <c r="B53" s="65"/>
      <c r="C53" s="68"/>
    </row>
    <row r="54" spans="1:3">
      <c r="A54" s="33"/>
      <c r="B54" s="64"/>
      <c r="C54" s="67"/>
    </row>
    <row r="55" spans="1:3">
      <c r="A55" s="33"/>
      <c r="B55" s="65"/>
      <c r="C55" s="68"/>
    </row>
    <row r="56" spans="1:3">
      <c r="A56" s="33"/>
      <c r="B56" s="64"/>
      <c r="C56" s="67"/>
    </row>
    <row r="57" spans="1:3">
      <c r="A57" s="33"/>
      <c r="B57" s="65"/>
      <c r="C57" s="68"/>
    </row>
    <row r="58" spans="1:3">
      <c r="A58" s="33"/>
      <c r="B58" s="64"/>
      <c r="C58" s="67"/>
    </row>
    <row r="59" spans="1:3">
      <c r="A59" s="33"/>
      <c r="B59" s="65"/>
      <c r="C59" s="68"/>
    </row>
    <row r="60" spans="1:3">
      <c r="A60" s="33"/>
      <c r="B60" s="64"/>
      <c r="C60" s="67"/>
    </row>
    <row r="61" spans="1:3">
      <c r="A61" s="33"/>
      <c r="B61" s="65"/>
      <c r="C61" s="68"/>
    </row>
    <row r="62" spans="1:3">
      <c r="A62" s="33"/>
      <c r="B62" s="64"/>
      <c r="C62" s="67"/>
    </row>
    <row r="63" spans="1:3">
      <c r="A63" s="33"/>
      <c r="B63" s="65"/>
      <c r="C63" s="68"/>
    </row>
    <row r="64" spans="1:3">
      <c r="A64" s="33"/>
      <c r="B64" s="64"/>
      <c r="C64" s="67"/>
    </row>
    <row r="65" spans="1:3">
      <c r="A65" s="33"/>
      <c r="B65" s="65"/>
      <c r="C65" s="68"/>
    </row>
    <row r="66" spans="1:3">
      <c r="A66" s="33"/>
      <c r="B66" s="64"/>
      <c r="C66" s="67"/>
    </row>
    <row r="67" spans="1:3">
      <c r="A67" s="33"/>
      <c r="B67" s="65"/>
      <c r="C67" s="68"/>
    </row>
    <row r="68" spans="1:3">
      <c r="A68" s="33"/>
      <c r="B68" s="64"/>
      <c r="C68" s="67"/>
    </row>
    <row r="69" spans="1:3">
      <c r="A69" s="33"/>
      <c r="B69" s="65"/>
      <c r="C69" s="68"/>
    </row>
    <row r="70" spans="1:3">
      <c r="A70" s="33"/>
      <c r="B70" s="64"/>
      <c r="C70" s="67"/>
    </row>
    <row r="71" spans="1:3">
      <c r="A71" s="33"/>
      <c r="B71" s="65"/>
      <c r="C71" s="68"/>
    </row>
    <row r="72" spans="1:3">
      <c r="A72" s="33"/>
      <c r="B72" s="64"/>
      <c r="C72" s="67"/>
    </row>
    <row r="73" spans="1:3">
      <c r="A73" s="33"/>
      <c r="B73" s="65"/>
      <c r="C73" s="68"/>
    </row>
    <row r="74" spans="1:3">
      <c r="A74" s="33"/>
      <c r="B74" s="64"/>
      <c r="C74" s="67"/>
    </row>
    <row r="75" spans="1:3">
      <c r="A75" s="33"/>
      <c r="B75" s="65"/>
      <c r="C75" s="68"/>
    </row>
    <row r="76" spans="1:3">
      <c r="A76" s="33"/>
      <c r="B76" s="64"/>
      <c r="C76" s="67"/>
    </row>
    <row r="77" spans="1:3">
      <c r="A77" s="33"/>
      <c r="B77" s="65"/>
      <c r="C77" s="68"/>
    </row>
    <row r="78" spans="1:3">
      <c r="A78" s="33"/>
      <c r="B78" s="64"/>
      <c r="C78" s="67"/>
    </row>
    <row r="79" spans="1:3">
      <c r="A79" s="33"/>
      <c r="B79" s="65"/>
      <c r="C79" s="68"/>
    </row>
    <row r="80" spans="1:3">
      <c r="A80" s="33"/>
      <c r="B80" s="64"/>
      <c r="C80" s="67"/>
    </row>
    <row r="81" spans="1:3">
      <c r="A81" s="33"/>
      <c r="B81" s="65"/>
      <c r="C81" s="68"/>
    </row>
    <row r="82" spans="1:3">
      <c r="A82" s="33"/>
      <c r="B82" s="64"/>
      <c r="C82" s="67"/>
    </row>
    <row r="83" spans="1:3">
      <c r="A83" s="33"/>
      <c r="B83" s="65"/>
      <c r="C83" s="68"/>
    </row>
    <row r="84" spans="1:3">
      <c r="A84" s="33"/>
      <c r="B84" s="64"/>
      <c r="C84" s="67"/>
    </row>
    <row r="85" spans="1:3">
      <c r="A85" s="33"/>
      <c r="B85" s="65"/>
      <c r="C85" s="68"/>
    </row>
    <row r="86" spans="1:3">
      <c r="A86" s="33"/>
      <c r="B86" s="64"/>
      <c r="C86" s="67"/>
    </row>
    <row r="87" spans="1:3">
      <c r="A87" s="33"/>
      <c r="B87" s="65"/>
      <c r="C87" s="68"/>
    </row>
    <row r="88" spans="1:3">
      <c r="A88" s="33"/>
      <c r="B88" s="64"/>
      <c r="C88" s="67"/>
    </row>
    <row r="89" spans="1:3" ht="15" thickBot="1">
      <c r="A89" s="33"/>
      <c r="B89" s="80"/>
      <c r="C89" s="82"/>
    </row>
    <row r="90" spans="1:3">
      <c r="A90" s="33"/>
      <c r="B90" s="64"/>
      <c r="C90" s="67"/>
    </row>
    <row r="91" spans="1:3">
      <c r="A91" s="33"/>
      <c r="B91" s="65"/>
      <c r="C91" s="68"/>
    </row>
    <row r="92" spans="1:3">
      <c r="A92" s="33"/>
      <c r="B92" s="64"/>
      <c r="C92" s="67"/>
    </row>
    <row r="93" spans="1:3">
      <c r="A93" s="33"/>
      <c r="B93" s="65"/>
      <c r="C93" s="68"/>
    </row>
    <row r="94" spans="1:3">
      <c r="A94" s="33"/>
      <c r="B94" s="64"/>
      <c r="C94" s="67"/>
    </row>
    <row r="95" spans="1:3">
      <c r="A95" s="33"/>
      <c r="B95" s="65"/>
      <c r="C95" s="68"/>
    </row>
    <row r="96" spans="1:3">
      <c r="A96" s="33"/>
      <c r="B96" s="64"/>
      <c r="C96" s="67"/>
    </row>
    <row r="97" spans="1:3">
      <c r="A97" s="33"/>
      <c r="B97" s="65"/>
      <c r="C97" s="68"/>
    </row>
    <row r="98" spans="1:3">
      <c r="A98" s="33"/>
      <c r="B98" s="64"/>
      <c r="C98" s="67"/>
    </row>
    <row r="99" spans="1:3">
      <c r="A99" s="33"/>
      <c r="B99" s="65"/>
      <c r="C99" s="68"/>
    </row>
    <row r="100" spans="1:3">
      <c r="A100" s="33"/>
      <c r="B100" s="64"/>
      <c r="C100" s="67"/>
    </row>
    <row r="101" spans="1:3">
      <c r="A101" s="33"/>
      <c r="B101" s="65"/>
      <c r="C101" s="68"/>
    </row>
    <row r="102" spans="1:3">
      <c r="A102" s="33"/>
      <c r="B102" s="64"/>
      <c r="C102" s="67"/>
    </row>
    <row r="103" spans="1:3">
      <c r="A103" s="33"/>
      <c r="B103" s="65"/>
      <c r="C103" s="68"/>
    </row>
    <row r="104" spans="1:3">
      <c r="A104" s="33"/>
      <c r="B104" s="64"/>
      <c r="C104" s="67"/>
    </row>
    <row r="105" spans="1:3">
      <c r="A105" s="33"/>
      <c r="B105" s="65"/>
      <c r="C105" s="68"/>
    </row>
    <row r="106" spans="1:3">
      <c r="A106" s="33"/>
      <c r="B106" s="64"/>
      <c r="C106" s="67"/>
    </row>
    <row r="107" spans="1:3">
      <c r="A107" s="33"/>
      <c r="B107" s="65"/>
      <c r="C107" s="68"/>
    </row>
    <row r="108" spans="1:3">
      <c r="A108" s="33"/>
      <c r="B108" s="64"/>
      <c r="C108" s="67"/>
    </row>
    <row r="109" spans="1:3">
      <c r="A109" s="33"/>
      <c r="B109" s="65"/>
      <c r="C109" s="68"/>
    </row>
    <row r="110" spans="1:3">
      <c r="A110" s="33"/>
      <c r="B110" s="64"/>
      <c r="C110" s="67"/>
    </row>
    <row r="111" spans="1:3">
      <c r="A111" s="33"/>
      <c r="B111" s="65"/>
      <c r="C111" s="68"/>
    </row>
    <row r="112" spans="1:3">
      <c r="A112" s="33"/>
      <c r="B112" s="64"/>
      <c r="C112" s="67"/>
    </row>
    <row r="113" spans="1:3">
      <c r="A113" s="33"/>
      <c r="B113" s="65"/>
      <c r="C113" s="68"/>
    </row>
    <row r="114" spans="1:3">
      <c r="A114" s="33"/>
      <c r="B114" s="64"/>
      <c r="C114" s="67"/>
    </row>
    <row r="115" spans="1:3">
      <c r="A115" s="33"/>
      <c r="B115" s="65"/>
      <c r="C115" s="68"/>
    </row>
    <row r="116" spans="1:3">
      <c r="A116" s="33"/>
      <c r="B116" s="64"/>
      <c r="C116" s="67"/>
    </row>
    <row r="117" spans="1:3">
      <c r="A117" s="33"/>
      <c r="B117" s="65"/>
      <c r="C117" s="68"/>
    </row>
    <row r="118" spans="1:3">
      <c r="A118" s="33"/>
      <c r="B118" s="64"/>
      <c r="C118" s="67"/>
    </row>
    <row r="119" spans="1:3">
      <c r="A119" s="33"/>
      <c r="B119" s="65"/>
      <c r="C119" s="68"/>
    </row>
    <row r="120" spans="1:3">
      <c r="A120" s="33"/>
      <c r="B120" s="64"/>
      <c r="C120" s="67"/>
    </row>
    <row r="121" spans="1:3">
      <c r="A121" s="33"/>
      <c r="B121" s="65"/>
      <c r="C121" s="68"/>
    </row>
    <row r="122" spans="1:3">
      <c r="A122" s="33"/>
      <c r="B122" s="64"/>
      <c r="C122" s="67"/>
    </row>
    <row r="123" spans="1:3">
      <c r="A123" s="33"/>
      <c r="B123" s="65"/>
      <c r="C123" s="68"/>
    </row>
    <row r="124" spans="1:3">
      <c r="A124" s="33"/>
      <c r="B124" s="64"/>
      <c r="C124" s="67"/>
    </row>
    <row r="125" spans="1:3">
      <c r="A125" s="33"/>
      <c r="B125" s="65"/>
      <c r="C125" s="68"/>
    </row>
    <row r="126" spans="1:3">
      <c r="A126" s="33"/>
      <c r="B126" s="64"/>
      <c r="C126" s="67"/>
    </row>
    <row r="127" spans="1:3">
      <c r="A127" s="33"/>
      <c r="B127" s="65"/>
      <c r="C127" s="68"/>
    </row>
    <row r="128" spans="1:3">
      <c r="A128" s="33"/>
      <c r="B128" s="64"/>
      <c r="C128" s="67"/>
    </row>
    <row r="129" spans="1:3">
      <c r="A129" s="33"/>
      <c r="B129" s="65"/>
      <c r="C129" s="68"/>
    </row>
    <row r="130" spans="1:3">
      <c r="A130" s="33"/>
      <c r="B130" s="64"/>
      <c r="C130" s="67"/>
    </row>
    <row r="131" spans="1:3">
      <c r="A131" s="33"/>
      <c r="B131" s="65"/>
      <c r="C131" s="68"/>
    </row>
    <row r="132" spans="1:3">
      <c r="A132" s="33"/>
      <c r="B132" s="64"/>
      <c r="C132" s="67"/>
    </row>
    <row r="133" spans="1:3">
      <c r="A133" s="33"/>
      <c r="B133" s="65"/>
      <c r="C133" s="68"/>
    </row>
    <row r="134" spans="1:3">
      <c r="A134" s="33"/>
      <c r="B134" s="64"/>
      <c r="C134" s="67"/>
    </row>
    <row r="135" spans="1:3">
      <c r="A135" s="33"/>
      <c r="B135" s="65"/>
      <c r="C135" s="68"/>
    </row>
    <row r="136" spans="1:3">
      <c r="A136" s="33"/>
      <c r="B136" s="64"/>
      <c r="C136" s="67"/>
    </row>
    <row r="137" spans="1:3">
      <c r="A137" s="33"/>
      <c r="B137" s="65"/>
      <c r="C137" s="68"/>
    </row>
    <row r="138" spans="1:3">
      <c r="A138" s="33"/>
      <c r="B138" s="64"/>
      <c r="C138" s="67"/>
    </row>
    <row r="139" spans="1:3">
      <c r="A139" s="33"/>
      <c r="B139" s="65"/>
      <c r="C139" s="68"/>
    </row>
    <row r="140" spans="1:3">
      <c r="A140" s="33"/>
      <c r="B140" s="64"/>
      <c r="C140" s="67"/>
    </row>
    <row r="141" spans="1:3">
      <c r="A141" s="33"/>
      <c r="B141" s="65"/>
      <c r="C141" s="68"/>
    </row>
    <row r="142" spans="1:3">
      <c r="A142" s="33"/>
      <c r="B142" s="64"/>
      <c r="C142" s="67"/>
    </row>
    <row r="143" spans="1:3">
      <c r="A143" s="33"/>
      <c r="B143" s="65"/>
      <c r="C143" s="68"/>
    </row>
    <row r="144" spans="1:3">
      <c r="A144" s="33"/>
      <c r="B144" s="64"/>
      <c r="C144" s="67"/>
    </row>
    <row r="145" spans="1:3">
      <c r="A145" s="33"/>
      <c r="B145" s="65"/>
      <c r="C145" s="68"/>
    </row>
    <row r="146" spans="1:3">
      <c r="A146" s="33"/>
      <c r="B146" s="64"/>
      <c r="C146" s="67"/>
    </row>
    <row r="147" spans="1:3">
      <c r="A147" s="33"/>
      <c r="B147" s="65"/>
      <c r="C147" s="68"/>
    </row>
    <row r="148" spans="1:3">
      <c r="A148" s="33"/>
      <c r="B148" s="64"/>
      <c r="C148" s="67"/>
    </row>
    <row r="149" spans="1:3">
      <c r="A149" s="33"/>
      <c r="B149" s="65"/>
      <c r="C149" s="68"/>
    </row>
    <row r="150" spans="1:3">
      <c r="A150" s="33"/>
      <c r="B150" s="64"/>
      <c r="C150" s="67"/>
    </row>
    <row r="151" spans="1:3">
      <c r="A151" s="33"/>
      <c r="B151" s="65"/>
      <c r="C151" s="68"/>
    </row>
    <row r="152" spans="1:3">
      <c r="A152" s="33"/>
      <c r="B152" s="64"/>
      <c r="C152" s="67"/>
    </row>
    <row r="153" spans="1:3">
      <c r="A153" s="33"/>
      <c r="B153" s="65"/>
      <c r="C153" s="68"/>
    </row>
    <row r="154" spans="1:3">
      <c r="A154" s="33"/>
      <c r="B154" s="64"/>
      <c r="C154" s="67"/>
    </row>
    <row r="155" spans="1:3">
      <c r="A155" s="33"/>
      <c r="B155" s="65"/>
      <c r="C155" s="68"/>
    </row>
    <row r="156" spans="1:3">
      <c r="A156" s="33"/>
      <c r="B156" s="64"/>
      <c r="C156" s="67"/>
    </row>
    <row r="157" spans="1:3">
      <c r="A157" s="33"/>
      <c r="B157" s="65"/>
      <c r="C157" s="68"/>
    </row>
    <row r="158" spans="1:3">
      <c r="A158" s="33"/>
      <c r="B158" s="64"/>
      <c r="C158" s="67"/>
    </row>
    <row r="159" spans="1:3">
      <c r="A159" s="33"/>
      <c r="B159" s="65"/>
      <c r="C159" s="68"/>
    </row>
    <row r="160" spans="1:3">
      <c r="A160" s="33"/>
      <c r="B160" s="64"/>
      <c r="C160" s="67"/>
    </row>
    <row r="161" spans="1:3">
      <c r="A161" s="33"/>
      <c r="B161" s="65"/>
      <c r="C161" s="68"/>
    </row>
    <row r="162" spans="1:3">
      <c r="A162" s="33"/>
      <c r="B162" s="64"/>
      <c r="C162" s="67"/>
    </row>
    <row r="163" spans="1:3">
      <c r="A163" s="33"/>
      <c r="B163" s="65"/>
      <c r="C163" s="68"/>
    </row>
    <row r="164" spans="1:3">
      <c r="A164" s="33"/>
      <c r="B164" s="64"/>
      <c r="C164" s="67"/>
    </row>
    <row r="165" spans="1:3">
      <c r="A165" s="33"/>
      <c r="B165" s="65"/>
      <c r="C165" s="68"/>
    </row>
    <row r="166" spans="1:3">
      <c r="A166" s="33"/>
      <c r="B166" s="64"/>
      <c r="C166" s="67"/>
    </row>
    <row r="167" spans="1:3">
      <c r="A167" s="33"/>
      <c r="B167" s="65"/>
      <c r="C167" s="68"/>
    </row>
    <row r="168" spans="1:3">
      <c r="A168" s="33"/>
      <c r="B168" s="64"/>
      <c r="C168" s="67"/>
    </row>
    <row r="169" spans="1:3">
      <c r="A169" s="33"/>
      <c r="B169" s="65"/>
      <c r="C169" s="68"/>
    </row>
    <row r="170" spans="1:3">
      <c r="A170" s="33"/>
      <c r="B170" s="64"/>
      <c r="C170" s="67"/>
    </row>
    <row r="171" spans="1:3">
      <c r="A171" s="33"/>
      <c r="B171" s="65"/>
      <c r="C171" s="68"/>
    </row>
    <row r="172" spans="1:3">
      <c r="A172" s="33"/>
      <c r="B172" s="64"/>
      <c r="C172" s="67"/>
    </row>
    <row r="173" spans="1:3">
      <c r="A173" s="33"/>
      <c r="B173" s="65"/>
      <c r="C173" s="68"/>
    </row>
    <row r="174" spans="1:3">
      <c r="A174" s="33"/>
      <c r="B174" s="64"/>
      <c r="C174" s="67"/>
    </row>
    <row r="175" spans="1:3">
      <c r="A175" s="33"/>
      <c r="B175" s="65"/>
      <c r="C175" s="68"/>
    </row>
    <row r="176" spans="1:3">
      <c r="A176" s="33"/>
      <c r="B176" s="64"/>
      <c r="C176" s="67"/>
    </row>
    <row r="177" spans="1:3">
      <c r="A177" s="33"/>
      <c r="B177" s="65"/>
      <c r="C177" s="68"/>
    </row>
    <row r="178" spans="1:3">
      <c r="A178" s="33"/>
      <c r="B178" s="64"/>
      <c r="C178" s="67"/>
    </row>
    <row r="179" spans="1:3">
      <c r="A179" s="33"/>
      <c r="B179" s="65"/>
      <c r="C179" s="68"/>
    </row>
    <row r="180" spans="1:3">
      <c r="A180" s="33"/>
      <c r="B180" s="64"/>
      <c r="C180" s="67"/>
    </row>
    <row r="181" spans="1:3">
      <c r="A181" s="33"/>
      <c r="B181" s="65"/>
      <c r="C181" s="68"/>
    </row>
    <row r="182" spans="1:3">
      <c r="A182" s="33"/>
      <c r="B182" s="64"/>
      <c r="C182" s="67"/>
    </row>
    <row r="183" spans="1:3">
      <c r="A183" s="33"/>
      <c r="B183" s="65"/>
      <c r="C183" s="68"/>
    </row>
    <row r="184" spans="1:3">
      <c r="A184" s="33"/>
      <c r="B184" s="64"/>
      <c r="C184" s="67"/>
    </row>
    <row r="185" spans="1:3">
      <c r="A185" s="33"/>
      <c r="B185" s="65"/>
      <c r="C185" s="68"/>
    </row>
    <row r="186" spans="1:3">
      <c r="A186" s="33"/>
      <c r="B186" s="64"/>
      <c r="C186" s="67"/>
    </row>
    <row r="187" spans="1:3">
      <c r="A187" s="33"/>
      <c r="B187" s="65"/>
      <c r="C187" s="68"/>
    </row>
    <row r="188" spans="1:3">
      <c r="A188" s="33"/>
      <c r="B188" s="64"/>
      <c r="C188" s="67"/>
    </row>
    <row r="189" spans="1:3">
      <c r="A189" s="33"/>
      <c r="B189" s="65"/>
      <c r="C189" s="68"/>
    </row>
    <row r="190" spans="1:3">
      <c r="A190" s="33"/>
      <c r="B190" s="64"/>
      <c r="C190" s="67"/>
    </row>
    <row r="191" spans="1:3">
      <c r="A191" s="33"/>
      <c r="B191" s="65"/>
      <c r="C191" s="68"/>
    </row>
    <row r="192" spans="1:3">
      <c r="A192" s="33"/>
      <c r="B192" s="64"/>
      <c r="C192" s="67"/>
    </row>
    <row r="193" spans="1:3">
      <c r="A193" s="33"/>
      <c r="B193" s="65"/>
      <c r="C193" s="68"/>
    </row>
    <row r="194" spans="1:3">
      <c r="A194" s="33"/>
      <c r="B194" s="64"/>
      <c r="C194" s="67"/>
    </row>
    <row r="195" spans="1:3">
      <c r="A195" s="33"/>
      <c r="B195" s="65"/>
      <c r="C195" s="68"/>
    </row>
    <row r="196" spans="1:3">
      <c r="A196" s="33"/>
      <c r="B196" s="64"/>
      <c r="C196" s="67"/>
    </row>
    <row r="197" spans="1:3">
      <c r="A197" s="33"/>
      <c r="B197" s="65"/>
      <c r="C197" s="68"/>
    </row>
    <row r="198" spans="1:3">
      <c r="A198" s="33"/>
      <c r="B198" s="64"/>
      <c r="C198" s="67"/>
    </row>
    <row r="199" spans="1:3">
      <c r="A199" s="33"/>
      <c r="B199" s="65"/>
      <c r="C199" s="68"/>
    </row>
    <row r="200" spans="1:3">
      <c r="A200" s="33"/>
      <c r="B200" s="64"/>
      <c r="C200" s="67"/>
    </row>
    <row r="201" spans="1:3">
      <c r="A201" s="33"/>
      <c r="B201" s="65"/>
      <c r="C201" s="68"/>
    </row>
    <row r="202" spans="1:3">
      <c r="A202" s="33"/>
      <c r="B202" s="64"/>
      <c r="C202" s="67"/>
    </row>
    <row r="203" spans="1:3">
      <c r="A203" s="33"/>
      <c r="B203" s="65"/>
      <c r="C203" s="68"/>
    </row>
    <row r="204" spans="1:3">
      <c r="A204" s="33"/>
      <c r="B204" s="64"/>
      <c r="C204" s="67"/>
    </row>
    <row r="205" spans="1:3">
      <c r="A205" s="33"/>
      <c r="B205" s="65"/>
      <c r="C205" s="68"/>
    </row>
    <row r="206" spans="1:3">
      <c r="A206" s="33"/>
      <c r="B206" s="64"/>
      <c r="C206" s="67"/>
    </row>
    <row r="207" spans="1:3">
      <c r="A207" s="33"/>
      <c r="B207" s="65"/>
      <c r="C207" s="68"/>
    </row>
    <row r="208" spans="1:3">
      <c r="A208" s="33"/>
      <c r="B208" s="64"/>
      <c r="C208" s="67"/>
    </row>
    <row r="209" spans="1:3">
      <c r="A209" s="33"/>
      <c r="B209" s="65"/>
      <c r="C209" s="68"/>
    </row>
    <row r="210" spans="1:3">
      <c r="A210" s="33"/>
      <c r="B210" s="64"/>
      <c r="C210" s="67"/>
    </row>
    <row r="211" spans="1:3">
      <c r="A211" s="33"/>
      <c r="B211" s="65"/>
      <c r="C211" s="68"/>
    </row>
    <row r="212" spans="1:3">
      <c r="A212" s="33"/>
      <c r="B212" s="64"/>
      <c r="C212" s="67"/>
    </row>
    <row r="213" spans="1:3">
      <c r="A213" s="33"/>
      <c r="B213" s="65"/>
      <c r="C213" s="68"/>
    </row>
    <row r="214" spans="1:3">
      <c r="A214" s="33"/>
      <c r="B214" s="64"/>
      <c r="C214" s="67"/>
    </row>
    <row r="215" spans="1:3">
      <c r="A215" s="33"/>
      <c r="B215" s="65"/>
      <c r="C215" s="68"/>
    </row>
    <row r="216" spans="1:3">
      <c r="A216" s="33"/>
      <c r="B216" s="64"/>
      <c r="C216" s="67"/>
    </row>
    <row r="217" spans="1:3">
      <c r="A217" s="33"/>
      <c r="B217" s="65"/>
      <c r="C217" s="68"/>
    </row>
    <row r="218" spans="1:3">
      <c r="A218" s="33"/>
      <c r="B218" s="64"/>
      <c r="C218" s="67"/>
    </row>
    <row r="219" spans="1:3">
      <c r="A219" s="33"/>
      <c r="B219" s="65"/>
      <c r="C219" s="68"/>
    </row>
    <row r="220" spans="1:3">
      <c r="A220" s="33"/>
      <c r="B220" s="64"/>
      <c r="C220" s="67"/>
    </row>
    <row r="221" spans="1:3">
      <c r="A221" s="33"/>
      <c r="B221" s="65"/>
      <c r="C221" s="68"/>
    </row>
    <row r="222" spans="1:3">
      <c r="A222" s="33"/>
      <c r="B222" s="64"/>
      <c r="C222" s="67"/>
    </row>
    <row r="223" spans="1:3">
      <c r="A223" s="33"/>
      <c r="B223" s="65"/>
      <c r="C223" s="68"/>
    </row>
    <row r="224" spans="1:3">
      <c r="A224" s="33"/>
      <c r="B224" s="64"/>
      <c r="C224" s="67"/>
    </row>
    <row r="225" spans="1:3">
      <c r="A225" s="33"/>
      <c r="B225" s="65"/>
      <c r="C225" s="68"/>
    </row>
    <row r="226" spans="1:3">
      <c r="A226" s="33"/>
      <c r="B226" s="64"/>
      <c r="C226" s="67"/>
    </row>
    <row r="227" spans="1:3">
      <c r="A227" s="33"/>
      <c r="B227" s="65"/>
      <c r="C227" s="68"/>
    </row>
    <row r="228" spans="1:3">
      <c r="A228" s="33"/>
      <c r="B228" s="64"/>
      <c r="C228" s="67"/>
    </row>
    <row r="229" spans="1:3">
      <c r="A229" s="33"/>
      <c r="B229" s="65"/>
      <c r="C229" s="68"/>
    </row>
    <row r="230" spans="1:3">
      <c r="A230" s="33"/>
      <c r="B230" s="64"/>
      <c r="C230" s="67"/>
    </row>
    <row r="231" spans="1:3">
      <c r="A231" s="33"/>
      <c r="B231" s="65"/>
      <c r="C231" s="68"/>
    </row>
    <row r="232" spans="1:3">
      <c r="A232" s="33"/>
      <c r="B232" s="64"/>
      <c r="C232" s="67"/>
    </row>
    <row r="233" spans="1:3">
      <c r="A233" s="33"/>
      <c r="B233" s="65"/>
      <c r="C233" s="68"/>
    </row>
    <row r="234" spans="1:3">
      <c r="A234" s="33"/>
      <c r="B234" s="64"/>
      <c r="C234" s="67"/>
    </row>
    <row r="235" spans="1:3">
      <c r="A235" s="33"/>
      <c r="B235" s="65"/>
      <c r="C235" s="68"/>
    </row>
    <row r="236" spans="1:3">
      <c r="A236" s="33"/>
      <c r="B236" s="64"/>
      <c r="C236" s="67"/>
    </row>
    <row r="237" spans="1:3">
      <c r="A237" s="33"/>
      <c r="B237" s="65"/>
      <c r="C237" s="68"/>
    </row>
    <row r="238" spans="1:3">
      <c r="A238" s="33"/>
      <c r="B238" s="64"/>
      <c r="C238" s="67"/>
    </row>
    <row r="239" spans="1:3">
      <c r="A239" s="33"/>
      <c r="B239" s="65"/>
      <c r="C239" s="68"/>
    </row>
    <row r="240" spans="1:3">
      <c r="A240" s="33"/>
      <c r="B240" s="64"/>
      <c r="C240" s="67"/>
    </row>
    <row r="241" spans="1:3">
      <c r="A241" s="33"/>
      <c r="B241" s="65"/>
      <c r="C241" s="68"/>
    </row>
    <row r="242" spans="1:3">
      <c r="A242" s="33"/>
      <c r="B242" s="64"/>
      <c r="C242" s="67"/>
    </row>
    <row r="243" spans="1:3">
      <c r="A243" s="33"/>
      <c r="B243" s="65"/>
      <c r="C243" s="68"/>
    </row>
    <row r="244" spans="1:3">
      <c r="A244" s="33"/>
      <c r="B244" s="64"/>
      <c r="C244" s="67"/>
    </row>
    <row r="245" spans="1:3">
      <c r="A245" s="33"/>
      <c r="B245" s="65"/>
      <c r="C245" s="68"/>
    </row>
    <row r="246" spans="1:3">
      <c r="A246" s="33"/>
      <c r="B246" s="64"/>
      <c r="C246" s="67"/>
    </row>
    <row r="247" spans="1:3">
      <c r="A247" s="33"/>
      <c r="B247" s="65"/>
      <c r="C247" s="68"/>
    </row>
    <row r="248" spans="1:3">
      <c r="A248" s="33"/>
      <c r="B248" s="64"/>
      <c r="C248" s="67"/>
    </row>
    <row r="249" spans="1:3">
      <c r="A249" s="33"/>
      <c r="B249" s="65"/>
      <c r="C249" s="68"/>
    </row>
    <row r="250" spans="1:3">
      <c r="A250" s="33"/>
      <c r="B250" s="64"/>
      <c r="C250" s="67"/>
    </row>
    <row r="251" spans="1:3">
      <c r="A251" s="33"/>
      <c r="B251" s="65"/>
      <c r="C251" s="68"/>
    </row>
    <row r="252" spans="1:3">
      <c r="A252" s="33"/>
      <c r="B252" s="64"/>
      <c r="C252" s="67"/>
    </row>
    <row r="253" spans="1:3">
      <c r="A253" s="33"/>
      <c r="B253" s="65"/>
      <c r="C253" s="68"/>
    </row>
    <row r="254" spans="1:3">
      <c r="A254" s="33"/>
      <c r="B254" s="64"/>
      <c r="C254" s="67"/>
    </row>
    <row r="255" spans="1:3">
      <c r="A255" s="33"/>
      <c r="B255" s="65"/>
      <c r="C255" s="68"/>
    </row>
    <row r="256" spans="1:3">
      <c r="A256" s="33"/>
      <c r="B256" s="64"/>
      <c r="C256" s="67"/>
    </row>
    <row r="257" spans="1:3">
      <c r="A257" s="33"/>
      <c r="B257" s="65"/>
      <c r="C257" s="68"/>
    </row>
    <row r="258" spans="1:3">
      <c r="A258" s="33"/>
      <c r="B258" s="64"/>
      <c r="C258" s="67"/>
    </row>
    <row r="259" spans="1:3">
      <c r="A259" s="33"/>
      <c r="B259" s="65"/>
      <c r="C259" s="68"/>
    </row>
    <row r="260" spans="1:3">
      <c r="A260" s="33"/>
      <c r="B260" s="64"/>
      <c r="C260" s="67"/>
    </row>
    <row r="261" spans="1:3">
      <c r="A261" s="33"/>
      <c r="B261" s="65"/>
      <c r="C261" s="68"/>
    </row>
    <row r="262" spans="1:3">
      <c r="A262" s="33"/>
      <c r="B262" s="64"/>
      <c r="C262" s="67"/>
    </row>
    <row r="263" spans="1:3">
      <c r="A263" s="33"/>
      <c r="B263" s="65"/>
      <c r="C263" s="68"/>
    </row>
    <row r="264" spans="1:3">
      <c r="A264" s="33"/>
      <c r="B264" s="64"/>
      <c r="C264" s="67"/>
    </row>
    <row r="265" spans="1:3">
      <c r="A265" s="33"/>
      <c r="B265" s="65"/>
      <c r="C265" s="68"/>
    </row>
    <row r="266" spans="1:3">
      <c r="A266" s="33"/>
      <c r="B266" s="64"/>
      <c r="C266" s="67"/>
    </row>
    <row r="267" spans="1:3">
      <c r="A267" s="33"/>
      <c r="B267" s="65"/>
      <c r="C267" s="68"/>
    </row>
    <row r="268" spans="1:3">
      <c r="A268" s="33"/>
      <c r="B268" s="64"/>
      <c r="C268" s="67"/>
    </row>
    <row r="269" spans="1:3">
      <c r="A269" s="33"/>
      <c r="B269" s="65"/>
      <c r="C269" s="68"/>
    </row>
    <row r="270" spans="1:3">
      <c r="A270" s="33"/>
      <c r="B270" s="64"/>
      <c r="C270" s="67"/>
    </row>
    <row r="271" spans="1:3">
      <c r="A271" s="33"/>
      <c r="B271" s="65"/>
      <c r="C271" s="68"/>
    </row>
    <row r="272" spans="1:3">
      <c r="A272" s="33"/>
      <c r="B272" s="64"/>
      <c r="C272" s="67"/>
    </row>
    <row r="273" spans="1:3">
      <c r="A273" s="33"/>
      <c r="B273" s="65"/>
      <c r="C273" s="68"/>
    </row>
    <row r="274" spans="1:3">
      <c r="A274" s="33"/>
      <c r="B274" s="64"/>
      <c r="C274" s="67"/>
    </row>
    <row r="275" spans="1:3">
      <c r="A275" s="33"/>
      <c r="B275" s="65"/>
      <c r="C275" s="68"/>
    </row>
    <row r="276" spans="1:3">
      <c r="A276" s="33"/>
      <c r="B276" s="64"/>
      <c r="C276" s="67"/>
    </row>
    <row r="277" spans="1:3">
      <c r="A277" s="33"/>
      <c r="B277" s="65"/>
      <c r="C277" s="68"/>
    </row>
    <row r="278" spans="1:3">
      <c r="A278" s="33"/>
      <c r="B278" s="64"/>
      <c r="C278" s="67"/>
    </row>
    <row r="279" spans="1:3">
      <c r="A279" s="33"/>
      <c r="B279" s="65"/>
      <c r="C279" s="68"/>
    </row>
    <row r="280" spans="1:3">
      <c r="A280" s="33"/>
      <c r="B280" s="64"/>
      <c r="C280" s="67"/>
    </row>
    <row r="281" spans="1:3">
      <c r="A281" s="33"/>
      <c r="B281" s="65"/>
      <c r="C281" s="68"/>
    </row>
    <row r="282" spans="1:3">
      <c r="A282" s="33"/>
      <c r="B282" s="64"/>
      <c r="C282" s="67"/>
    </row>
    <row r="283" spans="1:3">
      <c r="A283" s="33"/>
      <c r="B283" s="65"/>
      <c r="C283" s="68"/>
    </row>
    <row r="284" spans="1:3">
      <c r="A284" s="33"/>
      <c r="B284" s="64"/>
      <c r="C284" s="67"/>
    </row>
    <row r="285" spans="1:3">
      <c r="A285" s="33"/>
      <c r="B285" s="65"/>
      <c r="C285" s="68"/>
    </row>
    <row r="286" spans="1:3">
      <c r="A286" s="33"/>
      <c r="B286" s="64"/>
      <c r="C286" s="67"/>
    </row>
    <row r="287" spans="1:3">
      <c r="A287" s="33"/>
      <c r="B287" s="65"/>
      <c r="C287" s="68"/>
    </row>
    <row r="288" spans="1:3">
      <c r="A288" s="33"/>
      <c r="B288" s="64"/>
      <c r="C288" s="67"/>
    </row>
    <row r="289" spans="1:3">
      <c r="A289" s="33"/>
      <c r="B289" s="65"/>
      <c r="C289" s="68"/>
    </row>
    <row r="290" spans="1:3">
      <c r="A290" s="33"/>
      <c r="B290" s="64"/>
      <c r="C290" s="67"/>
    </row>
    <row r="291" spans="1:3">
      <c r="A291" s="33"/>
      <c r="B291" s="65"/>
      <c r="C291" s="68"/>
    </row>
    <row r="292" spans="1:3">
      <c r="A292" s="33"/>
      <c r="B292" s="64"/>
      <c r="C292" s="67"/>
    </row>
    <row r="293" spans="1:3">
      <c r="A293" s="33"/>
      <c r="B293" s="65"/>
      <c r="C293" s="68"/>
    </row>
    <row r="294" spans="1:3">
      <c r="A294" s="33"/>
      <c r="B294" s="64"/>
      <c r="C294" s="67"/>
    </row>
    <row r="295" spans="1:3">
      <c r="A295" s="33"/>
      <c r="B295" s="65"/>
      <c r="C295" s="68"/>
    </row>
    <row r="296" spans="1:3">
      <c r="A296" s="33"/>
      <c r="B296" s="64"/>
      <c r="C296" s="67"/>
    </row>
    <row r="297" spans="1:3">
      <c r="A297" s="33"/>
      <c r="B297" s="65"/>
      <c r="C297" s="68"/>
    </row>
    <row r="298" spans="1:3">
      <c r="A298" s="33"/>
      <c r="B298" s="64"/>
      <c r="C298" s="67"/>
    </row>
    <row r="299" spans="1:3">
      <c r="A299" s="33"/>
      <c r="B299" s="65"/>
      <c r="C299" s="68"/>
    </row>
    <row r="300" spans="1:3">
      <c r="A300" s="33"/>
      <c r="B300" s="64"/>
      <c r="C300" s="67"/>
    </row>
    <row r="301" spans="1:3">
      <c r="A301" s="33"/>
      <c r="B301" s="65"/>
      <c r="C301" s="68"/>
    </row>
    <row r="302" spans="1:3">
      <c r="A302" s="33"/>
      <c r="B302" s="64"/>
      <c r="C302" s="67"/>
    </row>
    <row r="303" spans="1:3">
      <c r="A303" s="33"/>
      <c r="B303" s="65"/>
      <c r="C303" s="68"/>
    </row>
    <row r="304" spans="1:3">
      <c r="A304" s="33"/>
      <c r="B304" s="64"/>
      <c r="C304" s="67"/>
    </row>
    <row r="305" spans="1:3">
      <c r="A305" s="33"/>
      <c r="B305" s="65"/>
      <c r="C305" s="68"/>
    </row>
    <row r="306" spans="1:3">
      <c r="A306" s="33"/>
      <c r="B306" s="64"/>
      <c r="C306" s="67"/>
    </row>
    <row r="307" spans="1:3">
      <c r="A307" s="33"/>
      <c r="B307" s="65"/>
      <c r="C307" s="68"/>
    </row>
    <row r="308" spans="1:3">
      <c r="A308" s="33"/>
      <c r="B308" s="64"/>
      <c r="C308" s="67"/>
    </row>
    <row r="309" spans="1:3">
      <c r="A309" s="33"/>
      <c r="B309" s="65"/>
      <c r="C309" s="68"/>
    </row>
    <row r="310" spans="1:3">
      <c r="A310" s="33"/>
      <c r="B310" s="64"/>
      <c r="C310" s="67"/>
    </row>
    <row r="311" spans="1:3">
      <c r="A311" s="33"/>
      <c r="B311" s="65"/>
      <c r="C311" s="68"/>
    </row>
    <row r="312" spans="1:3">
      <c r="A312" s="33"/>
      <c r="B312" s="64"/>
      <c r="C312" s="67"/>
    </row>
    <row r="313" spans="1:3">
      <c r="A313" s="33"/>
      <c r="B313" s="65"/>
      <c r="C313" s="68"/>
    </row>
    <row r="314" spans="1:3">
      <c r="A314" s="33"/>
      <c r="B314" s="64"/>
      <c r="C314" s="67"/>
    </row>
    <row r="315" spans="1:3">
      <c r="A315" s="33"/>
      <c r="B315" s="65"/>
      <c r="C315" s="68"/>
    </row>
    <row r="316" spans="1:3">
      <c r="A316" s="33"/>
      <c r="B316" s="64"/>
      <c r="C316" s="67"/>
    </row>
    <row r="317" spans="1:3">
      <c r="A317" s="33"/>
      <c r="B317" s="65"/>
      <c r="C317" s="68"/>
    </row>
    <row r="318" spans="1:3">
      <c r="A318" s="33"/>
      <c r="B318" s="64"/>
      <c r="C318" s="67"/>
    </row>
    <row r="319" spans="1:3">
      <c r="A319" s="33"/>
      <c r="B319" s="65"/>
      <c r="C319" s="68"/>
    </row>
    <row r="320" spans="1:3">
      <c r="A320" s="33"/>
      <c r="B320" s="64"/>
      <c r="C320" s="67"/>
    </row>
    <row r="321" spans="1:3">
      <c r="A321" s="33"/>
      <c r="B321" s="65"/>
      <c r="C321" s="68"/>
    </row>
    <row r="322" spans="1:3">
      <c r="A322" s="33"/>
      <c r="B322" s="64"/>
      <c r="C322" s="67"/>
    </row>
    <row r="323" spans="1:3">
      <c r="A323" s="33"/>
      <c r="B323" s="65"/>
      <c r="C323" s="68"/>
    </row>
    <row r="324" spans="1:3">
      <c r="A324" s="33"/>
      <c r="B324" s="64"/>
      <c r="C324" s="67"/>
    </row>
    <row r="325" spans="1:3">
      <c r="A325" s="33"/>
      <c r="B325" s="65"/>
      <c r="C325" s="68"/>
    </row>
    <row r="326" spans="1:3">
      <c r="A326" s="33"/>
      <c r="B326" s="64"/>
      <c r="C326" s="67"/>
    </row>
    <row r="327" spans="1:3">
      <c r="A327" s="33"/>
      <c r="B327" s="65"/>
      <c r="C327" s="68"/>
    </row>
    <row r="328" spans="1:3">
      <c r="A328" s="33"/>
      <c r="B328" s="64"/>
      <c r="C328" s="67"/>
    </row>
    <row r="329" spans="1:3">
      <c r="A329" s="33"/>
      <c r="B329" s="65"/>
      <c r="C329" s="68"/>
    </row>
    <row r="330" spans="1:3">
      <c r="A330" s="33"/>
      <c r="B330" s="64"/>
      <c r="C330" s="67"/>
    </row>
    <row r="331" spans="1:3">
      <c r="A331" s="33"/>
      <c r="B331" s="65"/>
      <c r="C331" s="68"/>
    </row>
    <row r="332" spans="1:3">
      <c r="A332" s="33"/>
      <c r="B332" s="64"/>
      <c r="C332" s="67"/>
    </row>
    <row r="333" spans="1:3">
      <c r="A333" s="33"/>
      <c r="B333" s="65"/>
      <c r="C333" s="68"/>
    </row>
    <row r="334" spans="1:3">
      <c r="A334" s="33"/>
      <c r="B334" s="64"/>
      <c r="C334" s="67"/>
    </row>
    <row r="335" spans="1:3">
      <c r="A335" s="33"/>
      <c r="B335" s="65"/>
      <c r="C335" s="68"/>
    </row>
    <row r="336" spans="1:3">
      <c r="A336" s="33"/>
      <c r="B336" s="64"/>
      <c r="C336" s="67"/>
    </row>
    <row r="337" spans="1:3">
      <c r="A337" s="33"/>
      <c r="B337" s="65"/>
      <c r="C337" s="68"/>
    </row>
    <row r="338" spans="1:3">
      <c r="A338" s="33"/>
      <c r="B338" s="64"/>
      <c r="C338" s="67"/>
    </row>
    <row r="339" spans="1:3">
      <c r="A339" s="33"/>
      <c r="B339" s="65"/>
      <c r="C339" s="68"/>
    </row>
    <row r="340" spans="1:3">
      <c r="A340" s="33"/>
      <c r="B340" s="64"/>
      <c r="C340" s="67"/>
    </row>
    <row r="341" spans="1:3">
      <c r="A341" s="33"/>
      <c r="B341" s="65"/>
      <c r="C341" s="68"/>
    </row>
    <row r="342" spans="1:3">
      <c r="A342" s="33"/>
      <c r="B342" s="64"/>
      <c r="C342" s="67"/>
    </row>
    <row r="343" spans="1:3">
      <c r="A343" s="33"/>
      <c r="B343" s="65"/>
      <c r="C343" s="68"/>
    </row>
    <row r="344" spans="1:3">
      <c r="A344" s="33"/>
      <c r="B344" s="64"/>
      <c r="C344" s="67"/>
    </row>
    <row r="345" spans="1:3">
      <c r="A345" s="33"/>
      <c r="B345" s="65"/>
      <c r="C345" s="68"/>
    </row>
    <row r="346" spans="1:3">
      <c r="A346" s="33"/>
      <c r="B346" s="64"/>
      <c r="C346" s="67"/>
    </row>
    <row r="347" spans="1:3">
      <c r="A347" s="33"/>
      <c r="B347" s="65"/>
      <c r="C347" s="68"/>
    </row>
    <row r="348" spans="1:3">
      <c r="A348" s="33"/>
      <c r="B348" s="64"/>
      <c r="C348" s="67"/>
    </row>
    <row r="349" spans="1:3">
      <c r="A349" s="33"/>
      <c r="B349" s="65"/>
      <c r="C349" s="68"/>
    </row>
    <row r="350" spans="1:3">
      <c r="A350" s="33"/>
      <c r="B350" s="64"/>
      <c r="C350" s="67"/>
    </row>
    <row r="351" spans="1:3">
      <c r="A351" s="33"/>
      <c r="B351" s="65"/>
      <c r="C351" s="68"/>
    </row>
    <row r="352" spans="1:3">
      <c r="A352" s="33"/>
      <c r="B352" s="64"/>
      <c r="C352" s="67"/>
    </row>
    <row r="353" spans="1:3">
      <c r="A353" s="33"/>
      <c r="B353" s="65"/>
      <c r="C353" s="68"/>
    </row>
    <row r="354" spans="1:3">
      <c r="A354" s="33"/>
      <c r="B354" s="64"/>
      <c r="C354" s="67"/>
    </row>
    <row r="355" spans="1:3">
      <c r="A355" s="33"/>
      <c r="B355" s="65"/>
      <c r="C355" s="68"/>
    </row>
    <row r="356" spans="1:3">
      <c r="A356" s="33"/>
      <c r="B356" s="64"/>
      <c r="C356" s="67"/>
    </row>
    <row r="357" spans="1:3">
      <c r="A357" s="33"/>
      <c r="B357" s="65"/>
      <c r="C357" s="68"/>
    </row>
    <row r="358" spans="1:3">
      <c r="A358" s="33"/>
      <c r="B358" s="64"/>
      <c r="C358" s="67"/>
    </row>
    <row r="359" spans="1:3">
      <c r="A359" s="33"/>
      <c r="B359" s="65"/>
      <c r="C359" s="68"/>
    </row>
    <row r="360" spans="1:3">
      <c r="A360" s="33"/>
      <c r="B360" s="64"/>
      <c r="C360" s="67"/>
    </row>
    <row r="361" spans="1:3">
      <c r="A361" s="33"/>
      <c r="B361" s="65"/>
      <c r="C361" s="68"/>
    </row>
    <row r="362" spans="1:3">
      <c r="A362" s="33"/>
      <c r="B362" s="64"/>
      <c r="C362" s="67"/>
    </row>
    <row r="363" spans="1:3">
      <c r="A363" s="33"/>
      <c r="B363" s="65"/>
      <c r="C363" s="68"/>
    </row>
    <row r="364" spans="1:3">
      <c r="A364" s="33"/>
      <c r="B364" s="64"/>
      <c r="C364" s="67"/>
    </row>
    <row r="365" spans="1:3">
      <c r="A365" s="33"/>
      <c r="B365" s="65"/>
      <c r="C365" s="68"/>
    </row>
    <row r="366" spans="1:3">
      <c r="A366" s="33"/>
      <c r="B366" s="64"/>
      <c r="C366" s="67"/>
    </row>
    <row r="367" spans="1:3">
      <c r="A367" s="33"/>
      <c r="B367" s="65"/>
      <c r="C367" s="68"/>
    </row>
    <row r="368" spans="1:3">
      <c r="A368" s="33"/>
      <c r="B368" s="64"/>
      <c r="C368" s="67"/>
    </row>
    <row r="369" spans="1:3">
      <c r="A369" s="33"/>
      <c r="B369" s="65"/>
      <c r="C369" s="68"/>
    </row>
    <row r="370" spans="1:3">
      <c r="A370" s="33"/>
      <c r="B370" s="64"/>
      <c r="C370" s="67"/>
    </row>
    <row r="371" spans="1:3">
      <c r="A371" s="33"/>
      <c r="B371" s="65"/>
      <c r="C371" s="68"/>
    </row>
    <row r="372" spans="1:3">
      <c r="A372" s="33"/>
      <c r="B372" s="64"/>
      <c r="C372" s="67"/>
    </row>
    <row r="373" spans="1:3">
      <c r="A373" s="33"/>
      <c r="B373" s="65"/>
      <c r="C373" s="68"/>
    </row>
    <row r="374" spans="1:3">
      <c r="A374" s="33"/>
      <c r="B374" s="64"/>
      <c r="C374" s="67"/>
    </row>
    <row r="375" spans="1:3">
      <c r="A375" s="33"/>
      <c r="B375" s="65"/>
      <c r="C375" s="68"/>
    </row>
    <row r="376" spans="1:3">
      <c r="A376" s="33"/>
      <c r="B376" s="64"/>
      <c r="C376" s="67"/>
    </row>
    <row r="377" spans="1:3">
      <c r="A377" s="33"/>
      <c r="B377" s="65"/>
      <c r="C377" s="68"/>
    </row>
    <row r="378" spans="1:3">
      <c r="A378" s="33"/>
      <c r="B378" s="64"/>
      <c r="C378" s="67"/>
    </row>
    <row r="379" spans="1:3">
      <c r="A379" s="33"/>
      <c r="B379" s="65"/>
      <c r="C379" s="68"/>
    </row>
    <row r="380" spans="1:3">
      <c r="A380" s="33"/>
      <c r="B380" s="64"/>
      <c r="C380" s="67"/>
    </row>
    <row r="381" spans="1:3">
      <c r="A381" s="33"/>
      <c r="B381" s="65"/>
      <c r="C381" s="68"/>
    </row>
    <row r="382" spans="1:3">
      <c r="A382" s="33"/>
      <c r="B382" s="64"/>
      <c r="C382" s="67"/>
    </row>
    <row r="383" spans="1:3">
      <c r="A383" s="33"/>
      <c r="B383" s="65"/>
      <c r="C383" s="68"/>
    </row>
    <row r="384" spans="1:3">
      <c r="A384" s="33"/>
      <c r="B384" s="64"/>
      <c r="C384" s="67"/>
    </row>
    <row r="385" spans="1:3">
      <c r="A385" s="33"/>
      <c r="B385" s="65"/>
      <c r="C385" s="68"/>
    </row>
    <row r="386" spans="1:3">
      <c r="A386" s="33"/>
      <c r="B386" s="64"/>
      <c r="C386" s="67"/>
    </row>
    <row r="387" spans="1:3">
      <c r="A387" s="33"/>
      <c r="B387" s="65"/>
      <c r="C387" s="68"/>
    </row>
    <row r="388" spans="1:3">
      <c r="A388" s="33"/>
      <c r="B388" s="64"/>
      <c r="C388" s="67"/>
    </row>
    <row r="389" spans="1:3">
      <c r="A389" s="33"/>
      <c r="B389" s="65"/>
      <c r="C389" s="68"/>
    </row>
    <row r="390" spans="1:3">
      <c r="A390" s="33"/>
      <c r="B390" s="64"/>
      <c r="C390" s="67"/>
    </row>
    <row r="391" spans="1:3">
      <c r="A391" s="33"/>
      <c r="B391" s="65"/>
      <c r="C391" s="68"/>
    </row>
    <row r="392" spans="1:3">
      <c r="A392" s="33"/>
      <c r="B392" s="64"/>
      <c r="C392" s="67"/>
    </row>
    <row r="393" spans="1:3">
      <c r="A393" s="33"/>
      <c r="B393" s="65"/>
      <c r="C393" s="68"/>
    </row>
    <row r="394" spans="1:3">
      <c r="A394" s="33"/>
      <c r="B394" s="64"/>
      <c r="C394" s="67"/>
    </row>
    <row r="395" spans="1:3">
      <c r="A395" s="33"/>
      <c r="B395" s="65"/>
      <c r="C395" s="68"/>
    </row>
    <row r="396" spans="1:3">
      <c r="A396" s="33"/>
      <c r="B396" s="64"/>
      <c r="C396" s="67"/>
    </row>
    <row r="397" spans="1:3">
      <c r="A397" s="33"/>
      <c r="B397" s="65"/>
      <c r="C397" s="68"/>
    </row>
    <row r="398" spans="1:3">
      <c r="A398" s="33"/>
      <c r="B398" s="64"/>
      <c r="C398" s="67"/>
    </row>
    <row r="399" spans="1:3">
      <c r="A399" s="33"/>
      <c r="B399" s="65"/>
      <c r="C399" s="68"/>
    </row>
    <row r="400" spans="1:3">
      <c r="A400" s="33"/>
      <c r="B400" s="64"/>
      <c r="C400" s="67"/>
    </row>
    <row r="401" spans="1:3">
      <c r="A401" s="33"/>
      <c r="B401" s="65"/>
      <c r="C401" s="68"/>
    </row>
    <row r="402" spans="1:3">
      <c r="A402" s="33"/>
      <c r="B402" s="64"/>
      <c r="C402" s="67"/>
    </row>
    <row r="403" spans="1:3">
      <c r="A403" s="33"/>
      <c r="B403" s="65"/>
      <c r="C403" s="68"/>
    </row>
    <row r="404" spans="1:3">
      <c r="A404" s="33"/>
      <c r="B404" s="64"/>
      <c r="C404" s="67"/>
    </row>
    <row r="405" spans="1:3">
      <c r="A405" s="33"/>
      <c r="B405" s="65"/>
      <c r="C405" s="68"/>
    </row>
    <row r="406" spans="1:3">
      <c r="A406" s="33"/>
      <c r="B406" s="64"/>
      <c r="C406" s="67"/>
    </row>
    <row r="407" spans="1:3">
      <c r="A407" s="33"/>
      <c r="B407" s="65"/>
      <c r="C407" s="68"/>
    </row>
    <row r="408" spans="1:3">
      <c r="A408" s="33"/>
      <c r="B408" s="64"/>
      <c r="C408" s="67"/>
    </row>
    <row r="409" spans="1:3">
      <c r="A409" s="33"/>
      <c r="B409" s="65"/>
      <c r="C409" s="68"/>
    </row>
    <row r="410" spans="1:3">
      <c r="A410" s="33"/>
      <c r="B410" s="64"/>
      <c r="C410" s="67"/>
    </row>
    <row r="411" spans="1:3">
      <c r="A411" s="33"/>
      <c r="B411" s="65"/>
      <c r="C411" s="68"/>
    </row>
    <row r="412" spans="1:3">
      <c r="A412" s="33"/>
      <c r="B412" s="64"/>
      <c r="C412" s="67"/>
    </row>
    <row r="413" spans="1:3">
      <c r="A413" s="33"/>
      <c r="B413" s="65"/>
      <c r="C413" s="68"/>
    </row>
    <row r="414" spans="1:3">
      <c r="A414" s="33"/>
      <c r="B414" s="64"/>
      <c r="C414" s="67"/>
    </row>
    <row r="415" spans="1:3">
      <c r="A415" s="33"/>
      <c r="B415" s="65"/>
      <c r="C415" s="68"/>
    </row>
    <row r="416" spans="1:3">
      <c r="A416" s="33"/>
      <c r="B416" s="64"/>
      <c r="C416" s="67"/>
    </row>
    <row r="417" spans="1:3">
      <c r="A417" s="33"/>
      <c r="B417" s="65"/>
      <c r="C417" s="68"/>
    </row>
    <row r="418" spans="1:3">
      <c r="A418" s="33"/>
      <c r="B418" s="64"/>
      <c r="C418" s="67"/>
    </row>
    <row r="419" spans="1:3">
      <c r="A419" s="33"/>
      <c r="B419" s="65"/>
      <c r="C419" s="68"/>
    </row>
    <row r="420" spans="1:3">
      <c r="A420" s="33"/>
      <c r="B420" s="64"/>
      <c r="C420" s="67"/>
    </row>
    <row r="421" spans="1:3">
      <c r="A421" s="33"/>
      <c r="B421" s="65"/>
      <c r="C421" s="68"/>
    </row>
    <row r="422" spans="1:3">
      <c r="A422" s="33"/>
      <c r="B422" s="64"/>
      <c r="C422" s="67"/>
    </row>
    <row r="423" spans="1:3">
      <c r="A423" s="33"/>
      <c r="B423" s="65"/>
      <c r="C423" s="68"/>
    </row>
    <row r="424" spans="1:3">
      <c r="A424" s="33"/>
      <c r="B424" s="64"/>
      <c r="C424" s="67"/>
    </row>
    <row r="425" spans="1:3">
      <c r="A425" s="33"/>
      <c r="B425" s="65"/>
      <c r="C425" s="68"/>
    </row>
    <row r="426" spans="1:3">
      <c r="A426" s="33"/>
      <c r="B426" s="64"/>
      <c r="C426" s="67"/>
    </row>
    <row r="427" spans="1:3">
      <c r="A427" s="33"/>
      <c r="B427" s="65"/>
      <c r="C427" s="68"/>
    </row>
    <row r="428" spans="1:3">
      <c r="A428" s="33"/>
      <c r="B428" s="64"/>
      <c r="C428" s="67"/>
    </row>
    <row r="429" spans="1:3">
      <c r="A429" s="33"/>
      <c r="B429" s="65"/>
      <c r="C429" s="68"/>
    </row>
    <row r="430" spans="1:3">
      <c r="A430" s="33"/>
      <c r="B430" s="64"/>
      <c r="C430" s="67"/>
    </row>
    <row r="431" spans="1:3">
      <c r="A431" s="33"/>
      <c r="B431" s="65"/>
      <c r="C431" s="68"/>
    </row>
    <row r="432" spans="1:3">
      <c r="A432" s="33"/>
      <c r="B432" s="64"/>
      <c r="C432" s="67"/>
    </row>
    <row r="433" spans="1:3">
      <c r="A433" s="33"/>
      <c r="B433" s="65"/>
      <c r="C433" s="68"/>
    </row>
    <row r="434" spans="1:3">
      <c r="A434" s="33"/>
      <c r="B434" s="64"/>
      <c r="C434" s="67"/>
    </row>
    <row r="435" spans="1:3">
      <c r="A435" s="33"/>
      <c r="B435" s="65"/>
      <c r="C435" s="68"/>
    </row>
    <row r="436" spans="1:3">
      <c r="A436" s="33"/>
      <c r="B436" s="64"/>
      <c r="C436" s="67"/>
    </row>
    <row r="437" spans="1:3">
      <c r="A437" s="33"/>
      <c r="B437" s="65"/>
      <c r="C437" s="68"/>
    </row>
    <row r="438" spans="1:3">
      <c r="A438" s="33"/>
      <c r="B438" s="64"/>
      <c r="C438" s="67"/>
    </row>
    <row r="439" spans="1:3">
      <c r="A439" s="33"/>
      <c r="B439" s="65"/>
      <c r="C439" s="68"/>
    </row>
    <row r="440" spans="1:3">
      <c r="A440" s="33"/>
      <c r="B440" s="64"/>
      <c r="C440" s="67"/>
    </row>
    <row r="441" spans="1:3">
      <c r="A441" s="33"/>
      <c r="B441" s="65"/>
      <c r="C441" s="68"/>
    </row>
    <row r="442" spans="1:3">
      <c r="A442" s="33"/>
      <c r="B442" s="64"/>
      <c r="C442" s="67"/>
    </row>
    <row r="443" spans="1:3">
      <c r="A443" s="33"/>
      <c r="B443" s="65"/>
      <c r="C443" s="68"/>
    </row>
    <row r="444" spans="1:3" ht="15" thickBot="1">
      <c r="A444" s="33"/>
      <c r="B444" s="66"/>
      <c r="C444" s="69"/>
    </row>
    <row r="445" spans="1:3">
      <c r="A445" s="33"/>
      <c r="B445" s="2"/>
      <c r="C445" s="47"/>
    </row>
    <row r="446" spans="1:3">
      <c r="A446" s="33"/>
      <c r="B446" s="3"/>
      <c r="C446" s="46"/>
    </row>
    <row r="447" spans="1:3">
      <c r="A447" s="33"/>
      <c r="B447" s="2"/>
      <c r="C447" s="47"/>
    </row>
    <row r="448" spans="1:3">
      <c r="A448" s="33"/>
      <c r="B448" s="3"/>
      <c r="C448" s="46"/>
    </row>
    <row r="449" spans="1:3">
      <c r="A449" s="33"/>
      <c r="B449" s="2"/>
      <c r="C449" s="47"/>
    </row>
    <row r="450" spans="1:3">
      <c r="A450" s="33"/>
      <c r="B450" s="3"/>
      <c r="C450" s="46"/>
    </row>
    <row r="451" spans="1:3">
      <c r="A451" s="33"/>
      <c r="B451" s="2"/>
      <c r="C451" s="47"/>
    </row>
    <row r="452" spans="1:3">
      <c r="A452" s="33"/>
      <c r="B452" s="3"/>
      <c r="C452" s="46"/>
    </row>
    <row r="453" spans="1:3">
      <c r="A453" s="33"/>
      <c r="B453" s="2"/>
      <c r="C453" s="47"/>
    </row>
    <row r="454" spans="1:3">
      <c r="A454" s="33"/>
      <c r="B454" s="3"/>
      <c r="C454" s="46"/>
    </row>
    <row r="455" spans="1:3">
      <c r="A455" s="33"/>
      <c r="B455" s="2"/>
      <c r="C455" s="47"/>
    </row>
    <row r="456" spans="1:3">
      <c r="A456" s="33"/>
      <c r="B456" s="3"/>
      <c r="C456" s="46"/>
    </row>
    <row r="457" spans="1:3">
      <c r="A457" s="33"/>
      <c r="B457" s="2"/>
      <c r="C457" s="47"/>
    </row>
    <row r="458" spans="1:3">
      <c r="A458" s="33"/>
      <c r="B458" s="3"/>
      <c r="C458" s="46"/>
    </row>
    <row r="459" spans="1:3">
      <c r="A459" s="33"/>
      <c r="B459" s="2"/>
      <c r="C459" s="47"/>
    </row>
    <row r="460" spans="1:3">
      <c r="A460" s="33"/>
      <c r="B460" s="3"/>
      <c r="C460" s="46"/>
    </row>
    <row r="461" spans="1:3">
      <c r="A461" s="33"/>
      <c r="B461" s="2"/>
      <c r="C461" s="47"/>
    </row>
    <row r="462" spans="1:3">
      <c r="A462" s="33"/>
      <c r="B462" s="3"/>
      <c r="C462" s="46"/>
    </row>
    <row r="463" spans="1:3">
      <c r="A463" s="33"/>
      <c r="B463" s="2"/>
      <c r="C463" s="47"/>
    </row>
    <row r="464" spans="1:3">
      <c r="A464" s="33"/>
      <c r="B464" s="3"/>
      <c r="C464" s="46"/>
    </row>
    <row r="465" spans="1:3">
      <c r="A465" s="33"/>
      <c r="B465" s="2"/>
      <c r="C465" s="47"/>
    </row>
    <row r="466" spans="1:3">
      <c r="A466" s="33"/>
      <c r="B466" s="3"/>
      <c r="C466" s="46"/>
    </row>
    <row r="467" spans="1:3">
      <c r="A467" s="33"/>
      <c r="B467" s="2"/>
      <c r="C467" s="47"/>
    </row>
    <row r="468" spans="1:3">
      <c r="A468" s="33"/>
      <c r="B468" s="3"/>
      <c r="C468" s="46"/>
    </row>
    <row r="469" spans="1:3">
      <c r="A469" s="33"/>
      <c r="B469" s="2"/>
      <c r="C469" s="47"/>
    </row>
    <row r="470" spans="1:3">
      <c r="A470" s="33"/>
      <c r="B470" s="3"/>
      <c r="C470" s="46"/>
    </row>
    <row r="471" spans="1:3">
      <c r="A471" s="33"/>
      <c r="B471" s="2"/>
      <c r="C471" s="47"/>
    </row>
    <row r="472" spans="1:3">
      <c r="A472" s="33"/>
      <c r="B472" s="3"/>
      <c r="C472" s="46"/>
    </row>
    <row r="473" spans="1:3">
      <c r="A473" s="33"/>
      <c r="B473" s="2"/>
      <c r="C473" s="47"/>
    </row>
    <row r="474" spans="1:3">
      <c r="A474" s="33"/>
      <c r="B474" s="3"/>
      <c r="C474" s="46"/>
    </row>
    <row r="475" spans="1:3">
      <c r="A475" s="33"/>
      <c r="B475" s="2"/>
      <c r="C475" s="47"/>
    </row>
    <row r="476" spans="1:3">
      <c r="A476" s="33"/>
      <c r="B476" s="3"/>
      <c r="C476" s="46"/>
    </row>
    <row r="477" spans="1:3">
      <c r="A477" s="33"/>
      <c r="B477" s="2"/>
      <c r="C477" s="49"/>
    </row>
    <row r="478" spans="1:3">
      <c r="A478" s="33"/>
      <c r="B478" s="3"/>
      <c r="C478" s="48"/>
    </row>
    <row r="479" spans="1:3">
      <c r="A479" s="33"/>
      <c r="B479" s="2"/>
      <c r="C479" s="47"/>
    </row>
    <row r="480" spans="1:3">
      <c r="A480" s="33"/>
      <c r="B480" s="3"/>
      <c r="C480" s="48"/>
    </row>
    <row r="481" spans="1:3">
      <c r="A481" s="33"/>
      <c r="B481" s="2"/>
      <c r="C481" s="47"/>
    </row>
    <row r="482" spans="1:3">
      <c r="A482" s="33"/>
      <c r="B482" s="3"/>
      <c r="C482" s="46"/>
    </row>
    <row r="483" spans="1:3">
      <c r="A483" s="33"/>
      <c r="B483" s="2"/>
      <c r="C483" s="47"/>
    </row>
    <row r="484" spans="1:3">
      <c r="A484" s="33"/>
      <c r="B484" s="3"/>
      <c r="C484" s="48"/>
    </row>
    <row r="485" spans="1:3">
      <c r="A485" s="33"/>
      <c r="B485" s="2"/>
      <c r="C485" s="47"/>
    </row>
    <row r="486" spans="1:3">
      <c r="A486" s="33"/>
      <c r="B486" s="3"/>
      <c r="C486" s="48"/>
    </row>
    <row r="487" spans="1:3">
      <c r="A487" s="33"/>
      <c r="B487" s="2"/>
      <c r="C487" s="49"/>
    </row>
    <row r="488" spans="1:3">
      <c r="A488" s="33"/>
      <c r="B488" s="3"/>
      <c r="C488" s="48"/>
    </row>
    <row r="489" spans="1:3">
      <c r="A489" s="33"/>
      <c r="B489" s="2"/>
      <c r="C489" s="49"/>
    </row>
    <row r="490" spans="1:3">
      <c r="A490" s="33"/>
      <c r="B490" s="3"/>
      <c r="C490" s="46"/>
    </row>
    <row r="491" spans="1:3">
      <c r="A491" s="33"/>
      <c r="B491" s="2"/>
      <c r="C491" s="47"/>
    </row>
    <row r="492" spans="1:3">
      <c r="A492" s="33"/>
      <c r="B492" s="3"/>
      <c r="C492" s="46"/>
    </row>
    <row r="493" spans="1:3">
      <c r="A493" s="33"/>
      <c r="B493" s="2"/>
      <c r="C493" s="47"/>
    </row>
  </sheetData>
  <mergeCells count="1">
    <mergeCell ref="A1:C1"/>
  </mergeCells>
  <printOptions horizontalCentered="1"/>
  <pageMargins left="0.11811023622047245" right="0.11811023622047245" top="0.15748031496062992" bottom="0.15748031496062992" header="0.11811023622047245" footer="0.19685039370078741"/>
  <pageSetup scale="29" orientation="landscape" r:id="rId1"/>
  <rowBreaks count="1" manualBreakCount="1">
    <brk id="90" max="1638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664B2-CEB8-470E-9949-C5CD01C5BBED}">
  <sheetPr codeName="Hoja4">
    <pageSetUpPr fitToPage="1"/>
  </sheetPr>
  <dimension ref="A1:M48"/>
  <sheetViews>
    <sheetView showGridLines="0" tabSelected="1" view="pageBreakPreview" zoomScale="55" zoomScaleNormal="87" zoomScaleSheetLayoutView="55" workbookViewId="0">
      <selection activeCell="C20" sqref="C20"/>
    </sheetView>
  </sheetViews>
  <sheetFormatPr baseColWidth="10" defaultRowHeight="14.4"/>
  <cols>
    <col min="1" max="2" width="22" style="36" customWidth="1"/>
    <col min="3" max="3" width="183.44140625" customWidth="1"/>
    <col min="4" max="4" width="30.88671875" bestFit="1" customWidth="1"/>
    <col min="5" max="5" width="43" bestFit="1" customWidth="1"/>
  </cols>
  <sheetData>
    <row r="1" spans="1:13" ht="90" customHeight="1" thickTop="1" thickBot="1">
      <c r="A1" s="44"/>
      <c r="B1" s="116" t="s">
        <v>35</v>
      </c>
      <c r="C1" s="116"/>
      <c r="D1" s="116"/>
      <c r="E1" s="116"/>
      <c r="F1" s="51" t="s">
        <v>31</v>
      </c>
      <c r="G1" s="51"/>
      <c r="H1" s="51"/>
      <c r="I1" s="51"/>
    </row>
    <row r="2" spans="1:13" ht="24.9" customHeight="1" thickTop="1" thickBot="1">
      <c r="A2" s="120" t="s">
        <v>38</v>
      </c>
      <c r="B2" s="121"/>
      <c r="C2" s="122"/>
      <c r="D2" s="123">
        <f ca="1">+NOW()</f>
        <v>45811.863369212966</v>
      </c>
      <c r="E2" s="124"/>
      <c r="F2" s="51"/>
    </row>
    <row r="3" spans="1:13" ht="24.9" customHeight="1" thickTop="1" thickBot="1">
      <c r="A3" s="117" t="s">
        <v>222</v>
      </c>
      <c r="B3" s="118"/>
      <c r="C3" s="118"/>
      <c r="D3" s="118"/>
      <c r="E3" s="119"/>
      <c r="L3" s="41"/>
    </row>
    <row r="4" spans="1:13" ht="22.2" thickTop="1" thickBot="1">
      <c r="A4" s="59" t="s">
        <v>36</v>
      </c>
      <c r="B4" s="58">
        <f>COUNTA('Población inventario'!A3:'Población inventario'!A493)</f>
        <v>45</v>
      </c>
      <c r="C4" s="60"/>
      <c r="D4" s="60"/>
      <c r="E4" s="61"/>
    </row>
    <row r="5" spans="1:13" ht="22.2" thickTop="1" thickBot="1">
      <c r="A5" s="55" t="s">
        <v>37</v>
      </c>
      <c r="B5" s="58">
        <f>COUNTA(A7:A47)</f>
        <v>14</v>
      </c>
      <c r="C5" s="56"/>
      <c r="D5" s="50"/>
      <c r="E5" s="50"/>
    </row>
    <row r="6" spans="1:13" ht="43.2" thickTop="1" thickBot="1">
      <c r="A6" s="45" t="s">
        <v>282</v>
      </c>
      <c r="B6" s="45" t="s">
        <v>0</v>
      </c>
      <c r="C6" s="45" t="s">
        <v>29</v>
      </c>
      <c r="D6" s="45" t="s">
        <v>34</v>
      </c>
      <c r="E6" s="45" t="s">
        <v>33</v>
      </c>
      <c r="K6" s="41"/>
      <c r="M6" s="52"/>
    </row>
    <row r="7" spans="1:13" ht="35.1" customHeight="1" thickTop="1" thickBot="1">
      <c r="A7" s="57">
        <v>1</v>
      </c>
      <c r="B7" s="57">
        <v>35</v>
      </c>
      <c r="C7" s="53" t="str">
        <f>+VLOOKUP(B7,'Población inventario'!$A$3:$C$493,2)</f>
        <v>PANTALLA EN VIDRIO LAMINADO PEQUEÑA</v>
      </c>
      <c r="D7" s="83" t="str">
        <f>+VLOOKUP(B7,'Población inventario'!$A$3:$C$493,3)</f>
        <v>10077041</v>
      </c>
      <c r="E7" s="53"/>
    </row>
    <row r="8" spans="1:13" ht="35.1" customHeight="1" thickTop="1" thickBot="1">
      <c r="A8" s="57">
        <v>2</v>
      </c>
      <c r="B8" s="57">
        <v>31</v>
      </c>
      <c r="C8" s="53" t="str">
        <f>+VLOOKUP(B8,'Población inventario'!$A$3:$C$493,2)</f>
        <v>PUESTO DE TRABAJO RECTANGULAR</v>
      </c>
      <c r="D8" s="83" t="str">
        <f>+VLOOKUP(B8,'Población inventario'!$A$3:$C$493,3)</f>
        <v>10076876</v>
      </c>
      <c r="E8" s="53"/>
      <c r="M8" s="41"/>
    </row>
    <row r="9" spans="1:13" ht="34.5" customHeight="1" thickTop="1" thickBot="1">
      <c r="A9" s="57">
        <v>3</v>
      </c>
      <c r="B9" s="57">
        <v>2</v>
      </c>
      <c r="C9" s="53" t="str">
        <f>+VLOOKUP(B9,'Población inventario'!$A$3:$C$493,2)</f>
        <v>SILLA ERGONOMICA CON BRAZOS Y RODACHINES</v>
      </c>
      <c r="D9" s="83" t="str">
        <f>+VLOOKUP(B9,'Población inventario'!$A$3:$C$493,3)</f>
        <v>10070966</v>
      </c>
      <c r="E9" s="53"/>
    </row>
    <row r="10" spans="1:13" ht="35.1" customHeight="1" thickTop="1" thickBot="1">
      <c r="A10" s="57">
        <v>4</v>
      </c>
      <c r="B10" s="57">
        <v>6</v>
      </c>
      <c r="C10" s="53" t="str">
        <f>+VLOOKUP(B10,'Población inventario'!$A$3:$C$493,2)</f>
        <v>SILLA ERGONOMICA CON BRAZOS Y RODACHINES</v>
      </c>
      <c r="D10" s="83" t="str">
        <f>+VLOOKUP(B10,'Población inventario'!$A$3:$C$493,3)</f>
        <v>10071055</v>
      </c>
      <c r="E10" s="53"/>
    </row>
    <row r="11" spans="1:13" ht="35.1" customHeight="1" thickTop="1" thickBot="1">
      <c r="A11" s="57">
        <v>5</v>
      </c>
      <c r="B11" s="57">
        <v>4</v>
      </c>
      <c r="C11" s="53" t="str">
        <f>+VLOOKUP(B11,'Población inventario'!$A$3:$C$493,2)</f>
        <v>SILLA ERGONOMICA CON BRAZOS Y RODACHINES</v>
      </c>
      <c r="D11" s="83" t="str">
        <f>+VLOOKUP(B11,'Población inventario'!$A$3:$C$493,3)</f>
        <v>10070979</v>
      </c>
      <c r="E11" s="53"/>
    </row>
    <row r="12" spans="1:13" ht="35.1" customHeight="1" thickTop="1" thickBot="1">
      <c r="A12" s="57">
        <v>6</v>
      </c>
      <c r="B12" s="57">
        <v>26</v>
      </c>
      <c r="C12" s="53" t="str">
        <f>+VLOOKUP(B12,'Población inventario'!$A$3:$C$493,2)</f>
        <v>COMPUTADOR ESCRITORIO ALL IN ONE Saturno AIO 23.8 INC 16 GB</v>
      </c>
      <c r="D12" s="83" t="str">
        <f>+VLOOKUP(B12,'Población inventario'!$A$3:$C$493,3)</f>
        <v>10076591</v>
      </c>
      <c r="E12" s="53"/>
    </row>
    <row r="13" spans="1:13" ht="35.1" customHeight="1" thickTop="1" thickBot="1">
      <c r="A13" s="57">
        <v>7</v>
      </c>
      <c r="B13" s="57">
        <v>15</v>
      </c>
      <c r="C13" s="53" t="str">
        <f>+VLOOKUP(B13,'Población inventario'!$A$3:$C$493,2)</f>
        <v>SUPERFICIE RECTANGULAR DE 1.20 X 0.60</v>
      </c>
      <c r="D13" s="83" t="str">
        <f>+VLOOKUP(B13,'Población inventario'!$A$3:$C$493,3)</f>
        <v>10075150</v>
      </c>
      <c r="E13" s="53"/>
    </row>
    <row r="14" spans="1:13" ht="35.1" customHeight="1" thickTop="1" thickBot="1">
      <c r="A14" s="57">
        <v>8</v>
      </c>
      <c r="B14" s="57">
        <v>39</v>
      </c>
      <c r="C14" s="53" t="str">
        <f>+VLOOKUP(B14,'Población inventario'!$A$3:$C$493,2)</f>
        <v>PORTATIL HP PROBOOK 445 G9 AMD Ryzen™ 7</v>
      </c>
      <c r="D14" s="83" t="str">
        <f>+VLOOKUP(B14,'Población inventario'!$A$3:$C$493,3)</f>
        <v>10078055</v>
      </c>
      <c r="E14" s="53"/>
    </row>
    <row r="15" spans="1:13" ht="35.1" customHeight="1" thickTop="1" thickBot="1">
      <c r="A15" s="57">
        <v>9</v>
      </c>
      <c r="B15" s="57">
        <v>27</v>
      </c>
      <c r="C15" s="53" t="str">
        <f>+VLOOKUP(B15,'Población inventario'!$A$3:$C$493,2)</f>
        <v>PUESTO DE TRABAJO RECTANGULAR</v>
      </c>
      <c r="D15" s="83" t="str">
        <f>+VLOOKUP(B15,'Población inventario'!$A$3:$C$493,3)</f>
        <v>10076870</v>
      </c>
      <c r="E15" s="53"/>
    </row>
    <row r="16" spans="1:13" ht="35.1" customHeight="1" thickTop="1" thickBot="1">
      <c r="A16" s="57">
        <v>10</v>
      </c>
      <c r="B16" s="57">
        <v>10</v>
      </c>
      <c r="C16" s="53" t="str">
        <f>+VLOOKUP(B16,'Población inventario'!$A$3:$C$493,2)</f>
        <v>SILLA INTERLOCUTORA FIJA CON BRAZOS</v>
      </c>
      <c r="D16" s="83" t="str">
        <f>+VLOOKUP(B16,'Población inventario'!$A$3:$C$493,3)</f>
        <v>10071148</v>
      </c>
      <c r="E16" s="53"/>
    </row>
    <row r="17" spans="1:5" ht="35.1" customHeight="1" thickTop="1" thickBot="1">
      <c r="A17" s="57">
        <v>11</v>
      </c>
      <c r="B17" s="57">
        <v>44</v>
      </c>
      <c r="C17" s="53" t="str">
        <f>+VLOOKUP(B17,'Población inventario'!$A$3:$C$493,2)</f>
        <v>PUESTO DE TRABAJO DE 1.20 X 0.60</v>
      </c>
      <c r="D17" s="83" t="str">
        <f>+VLOOKUP(B17,'Población inventario'!$A$3:$C$493,3)</f>
        <v>10081347</v>
      </c>
      <c r="E17" s="53"/>
    </row>
    <row r="18" spans="1:5" ht="35.1" customHeight="1" thickTop="1" thickBot="1">
      <c r="A18" s="57">
        <v>12</v>
      </c>
      <c r="B18" s="57">
        <v>19</v>
      </c>
      <c r="C18" s="53" t="str">
        <f>+VLOOKUP(B18,'Población inventario'!$A$3:$C$493,2)</f>
        <v>PORTATIL HP 228B6LS PB455G7 R3-4300U 15 16GB/256</v>
      </c>
      <c r="D18" s="83" t="str">
        <f>+VLOOKUP(B18,'Población inventario'!$A$3:$C$493,3)</f>
        <v>10076065</v>
      </c>
      <c r="E18" s="53"/>
    </row>
    <row r="19" spans="1:5" ht="35.1" customHeight="1" thickTop="1" thickBot="1">
      <c r="A19" s="57">
        <v>13</v>
      </c>
      <c r="B19" s="57">
        <v>30</v>
      </c>
      <c r="C19" s="53" t="str">
        <f>+VLOOKUP(B19,'Población inventario'!$A$3:$C$493,2)</f>
        <v>PUESTO DE TRABAJO RECTANGULAR</v>
      </c>
      <c r="D19" s="83" t="str">
        <f>+VLOOKUP(B19,'Población inventario'!$A$3:$C$493,3)</f>
        <v>10076875</v>
      </c>
      <c r="E19" s="53"/>
    </row>
    <row r="20" spans="1:5" ht="35.1" customHeight="1" thickTop="1" thickBot="1">
      <c r="A20" s="57">
        <v>14</v>
      </c>
      <c r="B20" s="57">
        <v>1</v>
      </c>
      <c r="C20" s="53" t="str">
        <f>+VLOOKUP(B20,'Población inventario'!$A$3:$C$493,2)</f>
        <v>SILLA ERGONOMICA CON BRAZOS Y RODACHINES</v>
      </c>
      <c r="D20" s="83" t="str">
        <f>+VLOOKUP(B20,'Población inventario'!$A$3:$C$493,3)</f>
        <v>10070949</v>
      </c>
      <c r="E20" s="53"/>
    </row>
    <row r="21" spans="1:5" ht="35.1" customHeight="1" thickTop="1" thickBot="1">
      <c r="A21" s="57"/>
      <c r="B21" s="57"/>
      <c r="C21" s="53" t="e">
        <f>+VLOOKUP(B21,'Población inventario'!$A$3:$C$493,2)</f>
        <v>#N/A</v>
      </c>
      <c r="D21" s="83" t="e">
        <f>+VLOOKUP(B21,'Población inventario'!$A$3:$C$493,3)</f>
        <v>#N/A</v>
      </c>
      <c r="E21" s="53"/>
    </row>
    <row r="22" spans="1:5" ht="35.1" customHeight="1" thickTop="1" thickBot="1">
      <c r="A22" s="57"/>
      <c r="B22" s="57"/>
      <c r="C22" s="53" t="e">
        <f>+VLOOKUP(B22,'Población inventario'!$A$3:$C$493,2)</f>
        <v>#N/A</v>
      </c>
      <c r="D22" s="83" t="e">
        <f>+VLOOKUP(B22,'Población inventario'!$A$3:$C$493,3)</f>
        <v>#N/A</v>
      </c>
      <c r="E22" s="53"/>
    </row>
    <row r="23" spans="1:5" ht="35.1" customHeight="1" thickTop="1" thickBot="1">
      <c r="A23" s="57"/>
      <c r="B23" s="57"/>
      <c r="C23" s="53" t="e">
        <f>+VLOOKUP(B23,'Población inventario'!$A$3:$C$493,2)</f>
        <v>#N/A</v>
      </c>
      <c r="D23" s="83" t="e">
        <f>+VLOOKUP(B23,'Población inventario'!$A$3:$C$493,3)</f>
        <v>#N/A</v>
      </c>
      <c r="E23" s="53"/>
    </row>
    <row r="24" spans="1:5" ht="35.1" customHeight="1" thickTop="1" thickBot="1">
      <c r="A24" s="57"/>
      <c r="B24" s="57"/>
      <c r="C24" s="53" t="e">
        <f>+VLOOKUP(B24,'Población inventario'!$A$3:$C$493,2)</f>
        <v>#N/A</v>
      </c>
      <c r="D24" s="83" t="e">
        <f>+VLOOKUP(B24,'Población inventario'!$A$3:$C$493,3)</f>
        <v>#N/A</v>
      </c>
      <c r="E24" s="53"/>
    </row>
    <row r="25" spans="1:5" ht="35.1" customHeight="1" thickTop="1" thickBot="1">
      <c r="A25" s="57"/>
      <c r="B25" s="57"/>
      <c r="C25" s="53" t="e">
        <f>+VLOOKUP(B25,'Población inventario'!$A$3:$C$493,2)</f>
        <v>#N/A</v>
      </c>
      <c r="D25" s="83" t="e">
        <f>+VLOOKUP(B25,'Población inventario'!$A$3:$C$493,3)</f>
        <v>#N/A</v>
      </c>
      <c r="E25" s="53"/>
    </row>
    <row r="26" spans="1:5" ht="35.1" customHeight="1" thickTop="1" thickBot="1">
      <c r="A26" s="57"/>
      <c r="B26" s="57"/>
      <c r="C26" s="53" t="e">
        <f>+VLOOKUP(B26,'Población inventario'!$A$3:$C$493,2)</f>
        <v>#N/A</v>
      </c>
      <c r="D26" s="83" t="e">
        <f>+VLOOKUP(B26,'Población inventario'!$A$3:$C$493,3)</f>
        <v>#N/A</v>
      </c>
      <c r="E26" s="53"/>
    </row>
    <row r="27" spans="1:5" ht="35.1" customHeight="1" thickTop="1" thickBot="1">
      <c r="A27" s="57"/>
      <c r="B27" s="57"/>
      <c r="C27" s="53" t="e">
        <f>+VLOOKUP(B27,'Población inventario'!$A$3:$C$493,2)</f>
        <v>#N/A</v>
      </c>
      <c r="D27" s="83" t="e">
        <f>+VLOOKUP(B27,'Población inventario'!$A$3:$C$493,3)</f>
        <v>#N/A</v>
      </c>
      <c r="E27" s="53"/>
    </row>
    <row r="28" spans="1:5" ht="35.1" customHeight="1" thickTop="1" thickBot="1">
      <c r="A28" s="57"/>
      <c r="B28" s="57"/>
      <c r="C28" s="53" t="e">
        <f>+VLOOKUP(B28,'Población inventario'!$A$3:$C$493,2)</f>
        <v>#N/A</v>
      </c>
      <c r="D28" s="83" t="e">
        <f>+VLOOKUP(B28,'Población inventario'!$A$3:$C$493,3)</f>
        <v>#N/A</v>
      </c>
      <c r="E28" s="53"/>
    </row>
    <row r="29" spans="1:5" ht="35.1" customHeight="1" thickTop="1" thickBot="1">
      <c r="A29" s="57"/>
      <c r="B29" s="57"/>
      <c r="C29" s="53" t="e">
        <f>+VLOOKUP(B29,'Población inventario'!$A$3:$C$493,2)</f>
        <v>#N/A</v>
      </c>
      <c r="D29" s="83" t="e">
        <f>+VLOOKUP(B29,'Población inventario'!$A$3:$C$493,3)</f>
        <v>#N/A</v>
      </c>
      <c r="E29" s="53"/>
    </row>
    <row r="30" spans="1:5" ht="35.1" customHeight="1" thickTop="1" thickBot="1">
      <c r="A30" s="57"/>
      <c r="B30" s="57"/>
      <c r="C30" s="53" t="e">
        <f>+VLOOKUP(B30,'Población inventario'!$A$3:$C$493,2)</f>
        <v>#N/A</v>
      </c>
      <c r="D30" s="83" t="e">
        <f>+VLOOKUP(B30,'Población inventario'!$A$3:$C$493,3)</f>
        <v>#N/A</v>
      </c>
      <c r="E30" s="53"/>
    </row>
    <row r="31" spans="1:5" ht="35.1" customHeight="1" thickTop="1" thickBot="1">
      <c r="A31" s="57"/>
      <c r="B31" s="57"/>
      <c r="C31" s="53" t="e">
        <f>+VLOOKUP(B31,'Población inventario'!$A$3:$C$493,2)</f>
        <v>#N/A</v>
      </c>
      <c r="D31" s="83" t="e">
        <f>+VLOOKUP(B31,'Población inventario'!$A$3:$C$493,3)</f>
        <v>#N/A</v>
      </c>
      <c r="E31" s="53"/>
    </row>
    <row r="32" spans="1:5" ht="35.1" customHeight="1" thickTop="1" thickBot="1">
      <c r="A32" s="57"/>
      <c r="B32" s="57"/>
      <c r="C32" s="53" t="e">
        <f>+VLOOKUP(B32,'Población inventario'!$A$3:$C$493,2)</f>
        <v>#N/A</v>
      </c>
      <c r="D32" s="83" t="e">
        <f>+VLOOKUP(B32,'Población inventario'!$A$3:$C$493,3)</f>
        <v>#N/A</v>
      </c>
      <c r="E32" s="53"/>
    </row>
    <row r="33" spans="1:5" ht="35.1" customHeight="1" thickTop="1" thickBot="1">
      <c r="A33" s="57"/>
      <c r="B33" s="57"/>
      <c r="C33" s="53" t="e">
        <f>+VLOOKUP(B33,'Población inventario'!$A$3:$C$493,2)</f>
        <v>#N/A</v>
      </c>
      <c r="D33" s="83" t="e">
        <f>+VLOOKUP(B33,'Población inventario'!$A$3:$C$493,3)</f>
        <v>#N/A</v>
      </c>
      <c r="E33" s="53"/>
    </row>
    <row r="34" spans="1:5" ht="35.1" customHeight="1" thickTop="1" thickBot="1">
      <c r="A34" s="57"/>
      <c r="B34" s="57"/>
      <c r="C34" s="53" t="e">
        <f>+VLOOKUP(B34,'Población inventario'!$A$3:$C$493,2)</f>
        <v>#N/A</v>
      </c>
      <c r="D34" s="83" t="e">
        <f>+VLOOKUP(B34,'Población inventario'!$A$3:$C$493,3)</f>
        <v>#N/A</v>
      </c>
      <c r="E34" s="53"/>
    </row>
    <row r="35" spans="1:5" ht="35.1" customHeight="1" thickTop="1" thickBot="1">
      <c r="A35" s="57"/>
      <c r="B35" s="57"/>
      <c r="C35" s="53" t="e">
        <f>+VLOOKUP(B35,'Población inventario'!$A$3:$C$493,2)</f>
        <v>#N/A</v>
      </c>
      <c r="D35" s="83" t="e">
        <f>+VLOOKUP(B35,'Población inventario'!$A$3:$C$493,3)</f>
        <v>#N/A</v>
      </c>
      <c r="E35" s="53"/>
    </row>
    <row r="36" spans="1:5" ht="35.1" customHeight="1" thickTop="1" thickBot="1">
      <c r="A36" s="57"/>
      <c r="B36" s="57"/>
      <c r="C36" s="53" t="e">
        <f>+VLOOKUP(B36,'Población inventario'!$A$3:$C$493,2)</f>
        <v>#N/A</v>
      </c>
      <c r="D36" s="83" t="e">
        <f>+VLOOKUP(B36,'Población inventario'!$A$3:$C$493,3)</f>
        <v>#N/A</v>
      </c>
      <c r="E36" s="53"/>
    </row>
    <row r="37" spans="1:5" ht="35.1" customHeight="1" thickTop="1" thickBot="1">
      <c r="A37" s="57"/>
      <c r="B37" s="57"/>
      <c r="C37" s="53" t="e">
        <f>+VLOOKUP(B37,'Población inventario'!$A$3:$C$493,2)</f>
        <v>#N/A</v>
      </c>
      <c r="D37" s="83" t="e">
        <f>+VLOOKUP(B37,'Población inventario'!$A$3:$C$493,3)</f>
        <v>#N/A</v>
      </c>
      <c r="E37" s="53"/>
    </row>
    <row r="38" spans="1:5" ht="35.1" customHeight="1" thickTop="1" thickBot="1">
      <c r="A38" s="57"/>
      <c r="B38" s="57"/>
      <c r="C38" s="53" t="e">
        <f>+VLOOKUP(B38,'Población inventario'!$A$3:$C$493,2)</f>
        <v>#N/A</v>
      </c>
      <c r="D38" s="83" t="e">
        <f>+VLOOKUP(B38,'Población inventario'!$A$3:$C$493,3)</f>
        <v>#N/A</v>
      </c>
      <c r="E38" s="53"/>
    </row>
    <row r="39" spans="1:5" ht="35.1" customHeight="1" thickTop="1" thickBot="1">
      <c r="A39" s="57"/>
      <c r="B39" s="57"/>
      <c r="C39" s="53" t="e">
        <f>+VLOOKUP(B39,'Población inventario'!$A$3:$C$493,2)</f>
        <v>#N/A</v>
      </c>
      <c r="D39" s="83" t="e">
        <f>+VLOOKUP(B39,'Población inventario'!$A$3:$C$493,3)</f>
        <v>#N/A</v>
      </c>
      <c r="E39" s="53"/>
    </row>
    <row r="40" spans="1:5" ht="35.1" customHeight="1" thickTop="1" thickBot="1">
      <c r="A40" s="57"/>
      <c r="B40" s="57"/>
      <c r="C40" s="53" t="e">
        <f>+VLOOKUP(B40,'Población inventario'!$A$3:$C$493,2)</f>
        <v>#N/A</v>
      </c>
      <c r="D40" s="83" t="e">
        <f>+VLOOKUP(B40,'Población inventario'!$A$3:$C$493,3)</f>
        <v>#N/A</v>
      </c>
      <c r="E40" s="53"/>
    </row>
    <row r="41" spans="1:5" ht="35.1" customHeight="1" thickTop="1" thickBot="1">
      <c r="A41" s="57"/>
      <c r="B41" s="57"/>
      <c r="C41" s="53" t="e">
        <f>+VLOOKUP(B41,'Población inventario'!$A$3:$C$493,2)</f>
        <v>#N/A</v>
      </c>
      <c r="D41" s="83" t="e">
        <f>+VLOOKUP(B41,'Población inventario'!$A$3:$C$493,3)</f>
        <v>#N/A</v>
      </c>
      <c r="E41" s="53"/>
    </row>
    <row r="42" spans="1:5" ht="35.1" customHeight="1" thickTop="1" thickBot="1">
      <c r="A42" s="57"/>
      <c r="B42" s="57"/>
      <c r="C42" s="53" t="e">
        <f>+VLOOKUP(B42,'Población inventario'!$A$3:$C$493,2)</f>
        <v>#N/A</v>
      </c>
      <c r="D42" s="83" t="e">
        <f>+VLOOKUP(B42,'Población inventario'!$A$3:$C$493,3)</f>
        <v>#N/A</v>
      </c>
      <c r="E42" s="53"/>
    </row>
    <row r="43" spans="1:5" ht="35.1" customHeight="1" thickTop="1" thickBot="1">
      <c r="A43" s="57"/>
      <c r="B43" s="57"/>
      <c r="C43" s="53" t="e">
        <f>+VLOOKUP(B43,'Población inventario'!$A$3:$C$493,2)</f>
        <v>#N/A</v>
      </c>
      <c r="D43" s="83" t="e">
        <f>+VLOOKUP(B43,'Población inventario'!$A$3:$C$493,3)</f>
        <v>#N/A</v>
      </c>
      <c r="E43" s="53"/>
    </row>
    <row r="44" spans="1:5" ht="35.1" customHeight="1" thickTop="1" thickBot="1">
      <c r="A44" s="57"/>
      <c r="B44" s="57"/>
      <c r="C44" s="53" t="e">
        <f>+VLOOKUP(B44,'Población inventario'!$A$3:$C$493,2)</f>
        <v>#N/A</v>
      </c>
      <c r="D44" s="83" t="e">
        <f>+VLOOKUP(B44,'Población inventario'!$A$3:$C$493,3)</f>
        <v>#N/A</v>
      </c>
      <c r="E44" s="53"/>
    </row>
    <row r="45" spans="1:5" ht="35.1" customHeight="1" thickTop="1" thickBot="1">
      <c r="A45" s="57"/>
      <c r="B45" s="57"/>
      <c r="C45" s="53" t="e">
        <f>+VLOOKUP(B45,'Población inventario'!$A$3:$C$493,2)</f>
        <v>#N/A</v>
      </c>
      <c r="D45" s="83" t="e">
        <f>+VLOOKUP(B45,'Población inventario'!$A$3:$C$493,3)</f>
        <v>#N/A</v>
      </c>
      <c r="E45" s="54"/>
    </row>
    <row r="46" spans="1:5" ht="35.1" customHeight="1" thickTop="1" thickBot="1">
      <c r="A46" s="57"/>
      <c r="B46" s="57"/>
      <c r="C46" s="53" t="e">
        <f>+VLOOKUP(B46,'Población inventario'!$A$3:$C$493,2)</f>
        <v>#N/A</v>
      </c>
      <c r="D46" s="53" t="e">
        <f>+VLOOKUP(B46,'Población inventario'!$A$3:$C$493,3)</f>
        <v>#N/A</v>
      </c>
      <c r="E46" s="53"/>
    </row>
    <row r="47" spans="1:5" ht="35.1" customHeight="1" thickTop="1" thickBot="1">
      <c r="A47" s="57"/>
      <c r="B47" s="57"/>
      <c r="C47" s="53" t="e">
        <f>+VLOOKUP(B47,'Población inventario'!$A$3:$C$493,2)</f>
        <v>#N/A</v>
      </c>
      <c r="D47" s="53" t="e">
        <f>+VLOOKUP(B47,'Población inventario'!$A$3:$C$493,3)</f>
        <v>#N/A</v>
      </c>
      <c r="E47" s="62"/>
    </row>
    <row r="48" spans="1:5" ht="15" thickTop="1"/>
  </sheetData>
  <mergeCells count="4">
    <mergeCell ref="B1:E1"/>
    <mergeCell ref="A3:E3"/>
    <mergeCell ref="A2:C2"/>
    <mergeCell ref="D2:E2"/>
  </mergeCells>
  <conditionalFormatting sqref="D7:D47">
    <cfRule type="duplicateValues" dxfId="10" priority="2"/>
    <cfRule type="duplicateValues" dxfId="9" priority="7"/>
  </conditionalFormatting>
  <conditionalFormatting sqref="B7:B47">
    <cfRule type="duplicateValues" dxfId="8" priority="9"/>
  </conditionalFormatting>
  <pageMargins left="0.11811023622047245" right="0.11811023622047245" top="0.15748031496062992" bottom="0.15748031496062992" header="0.11811023622047245" footer="0.19685039370078741"/>
  <pageSetup scale="3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ALEATORIO">
                <anchor moveWithCells="1" sizeWithCells="1">
                  <from>
                    <xdr:col>6</xdr:col>
                    <xdr:colOff>175260</xdr:colOff>
                    <xdr:row>5</xdr:row>
                    <xdr:rowOff>373380</xdr:rowOff>
                  </from>
                  <to>
                    <xdr:col>10</xdr:col>
                    <xdr:colOff>502920</xdr:colOff>
                    <xdr:row>9</xdr:row>
                    <xdr:rowOff>30480</xdr:rowOff>
                  </to>
                </anchor>
              </controlPr>
            </control>
          </mc:Choice>
        </mc:AlternateContent>
        <mc:AlternateContent xmlns:mc="http://schemas.openxmlformats.org/markup-compatibility/2006">
          <mc:Choice Requires="x14">
            <control shapeId="3078" r:id="rId5" name="Button 6">
              <controlPr defaultSize="0" print="0" autoFill="0" autoPict="0" macro="[0]!Exportar">
                <anchor moveWithCells="1" sizeWithCells="1">
                  <from>
                    <xdr:col>6</xdr:col>
                    <xdr:colOff>274320</xdr:colOff>
                    <xdr:row>10</xdr:row>
                    <xdr:rowOff>144780</xdr:rowOff>
                  </from>
                  <to>
                    <xdr:col>10</xdr:col>
                    <xdr:colOff>464820</xdr:colOff>
                    <xdr:row>12</xdr:row>
                    <xdr:rowOff>365760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29523-249E-4E13-A6A7-FCB30CC53D48}">
  <sheetPr codeName="Hoja1"/>
  <dimension ref="A1:R493"/>
  <sheetViews>
    <sheetView showGridLines="0" view="pageBreakPreview" zoomScale="73" zoomScaleNormal="87" zoomScaleSheetLayoutView="73" workbookViewId="0">
      <selection activeCell="C4" sqref="C4"/>
    </sheetView>
  </sheetViews>
  <sheetFormatPr baseColWidth="10" defaultRowHeight="14.4"/>
  <cols>
    <col min="1" max="1" width="14.5546875" bestFit="1" customWidth="1"/>
    <col min="2" max="2" width="255.6640625" bestFit="1" customWidth="1"/>
    <col min="3" max="3" width="101.6640625" style="36" bestFit="1" customWidth="1"/>
    <col min="4" max="4" width="18.44140625" style="35" customWidth="1"/>
    <col min="5" max="5" width="63.33203125" style="35" bestFit="1" customWidth="1"/>
  </cols>
  <sheetData>
    <row r="1" spans="1:18" s="39" customFormat="1" ht="39.9" customHeight="1">
      <c r="A1" s="115" t="s">
        <v>30</v>
      </c>
      <c r="B1" s="115"/>
      <c r="C1" s="115"/>
      <c r="D1" s="37"/>
      <c r="E1" s="38"/>
      <c r="Q1" s="43"/>
      <c r="R1" s="43"/>
    </row>
    <row r="2" spans="1:18" ht="15.6">
      <c r="A2" s="40" t="s">
        <v>0</v>
      </c>
      <c r="B2" s="40" t="s">
        <v>48</v>
      </c>
      <c r="C2" s="40" t="s">
        <v>49</v>
      </c>
      <c r="D2" s="1"/>
      <c r="E2" s="1"/>
      <c r="Q2" s="42"/>
      <c r="R2" s="42"/>
    </row>
    <row r="3" spans="1:18" ht="28.8">
      <c r="A3" s="33">
        <v>1</v>
      </c>
      <c r="B3" s="78" t="s">
        <v>194</v>
      </c>
      <c r="C3" s="72" t="s">
        <v>87</v>
      </c>
      <c r="Q3" s="42"/>
      <c r="R3" s="42"/>
    </row>
    <row r="4" spans="1:18" ht="28.8">
      <c r="A4" s="33">
        <v>2</v>
      </c>
      <c r="B4" s="75" t="s">
        <v>195</v>
      </c>
      <c r="C4" s="73" t="s">
        <v>88</v>
      </c>
      <c r="Q4" s="42"/>
      <c r="R4" s="42"/>
    </row>
    <row r="5" spans="1:18" ht="43.2">
      <c r="A5" s="33">
        <v>3</v>
      </c>
      <c r="B5" s="78" t="s">
        <v>196</v>
      </c>
      <c r="C5" s="72" t="s">
        <v>89</v>
      </c>
      <c r="Q5" s="42"/>
      <c r="R5" s="42"/>
    </row>
    <row r="6" spans="1:18" ht="28.8">
      <c r="A6" s="33">
        <v>4</v>
      </c>
      <c r="B6" s="75" t="s">
        <v>50</v>
      </c>
      <c r="C6" s="73" t="s">
        <v>90</v>
      </c>
      <c r="Q6" s="42"/>
      <c r="R6" s="42"/>
    </row>
    <row r="7" spans="1:18">
      <c r="A7" s="33">
        <v>5</v>
      </c>
      <c r="B7" s="74" t="s">
        <v>197</v>
      </c>
      <c r="C7" s="72" t="s">
        <v>91</v>
      </c>
      <c r="Q7" s="42"/>
      <c r="R7" s="42"/>
    </row>
    <row r="8" spans="1:18">
      <c r="A8" s="33">
        <v>6</v>
      </c>
      <c r="B8" s="75" t="s">
        <v>198</v>
      </c>
      <c r="C8" s="73" t="s">
        <v>92</v>
      </c>
      <c r="Q8" s="42"/>
      <c r="R8" s="42"/>
    </row>
    <row r="9" spans="1:18" ht="28.8">
      <c r="A9" s="33">
        <v>7</v>
      </c>
      <c r="B9" s="74" t="s">
        <v>51</v>
      </c>
      <c r="C9" s="72" t="s">
        <v>93</v>
      </c>
      <c r="Q9" s="42"/>
      <c r="R9" s="42"/>
    </row>
    <row r="10" spans="1:18" ht="28.8">
      <c r="A10" s="33">
        <v>8</v>
      </c>
      <c r="B10" s="75" t="s">
        <v>195</v>
      </c>
      <c r="C10" s="73" t="s">
        <v>94</v>
      </c>
    </row>
    <row r="11" spans="1:18">
      <c r="A11" s="33">
        <v>9</v>
      </c>
      <c r="B11" s="74" t="s">
        <v>52</v>
      </c>
      <c r="C11" s="72" t="s">
        <v>95</v>
      </c>
    </row>
    <row r="12" spans="1:18" ht="28.8">
      <c r="A12" s="33">
        <v>10</v>
      </c>
      <c r="B12" s="75" t="s">
        <v>53</v>
      </c>
      <c r="C12" s="73" t="s">
        <v>96</v>
      </c>
    </row>
    <row r="13" spans="1:18">
      <c r="A13" s="33">
        <v>11</v>
      </c>
      <c r="B13" s="74" t="s">
        <v>54</v>
      </c>
      <c r="C13" s="72" t="s">
        <v>97</v>
      </c>
    </row>
    <row r="14" spans="1:18" ht="28.8">
      <c r="A14" s="33">
        <v>12</v>
      </c>
      <c r="B14" s="75" t="s">
        <v>55</v>
      </c>
      <c r="C14" s="73" t="s">
        <v>98</v>
      </c>
    </row>
    <row r="15" spans="1:18">
      <c r="A15" s="33">
        <v>13</v>
      </c>
      <c r="B15" s="74" t="s">
        <v>39</v>
      </c>
      <c r="C15" s="72" t="s">
        <v>99</v>
      </c>
    </row>
    <row r="16" spans="1:18">
      <c r="A16" s="33">
        <v>14</v>
      </c>
      <c r="B16" s="75" t="s">
        <v>56</v>
      </c>
      <c r="C16" s="73" t="s">
        <v>100</v>
      </c>
    </row>
    <row r="17" spans="1:3" ht="28.8">
      <c r="A17" s="33">
        <v>15</v>
      </c>
      <c r="B17" s="74" t="s">
        <v>194</v>
      </c>
      <c r="C17" s="72" t="s">
        <v>101</v>
      </c>
    </row>
    <row r="18" spans="1:3" ht="28.8">
      <c r="A18" s="33">
        <v>16</v>
      </c>
      <c r="B18" s="75" t="s">
        <v>195</v>
      </c>
      <c r="C18" s="73" t="s">
        <v>102</v>
      </c>
    </row>
    <row r="19" spans="1:3">
      <c r="A19" s="33">
        <v>17</v>
      </c>
      <c r="B19" s="74" t="s">
        <v>199</v>
      </c>
      <c r="C19" s="72" t="s">
        <v>103</v>
      </c>
    </row>
    <row r="20" spans="1:3">
      <c r="A20" s="33">
        <v>18</v>
      </c>
      <c r="B20" s="75" t="s">
        <v>57</v>
      </c>
      <c r="C20" s="73" t="s">
        <v>104</v>
      </c>
    </row>
    <row r="21" spans="1:3" ht="28.8">
      <c r="A21" s="33">
        <v>19</v>
      </c>
      <c r="B21" s="74" t="s">
        <v>58</v>
      </c>
      <c r="C21" s="72" t="s">
        <v>105</v>
      </c>
    </row>
    <row r="22" spans="1:3">
      <c r="A22" s="33">
        <v>20</v>
      </c>
      <c r="B22" s="75" t="s">
        <v>59</v>
      </c>
      <c r="C22" s="73" t="s">
        <v>106</v>
      </c>
    </row>
    <row r="23" spans="1:3" ht="28.8">
      <c r="A23" s="33">
        <v>21</v>
      </c>
      <c r="B23" s="74" t="s">
        <v>60</v>
      </c>
      <c r="C23" s="72" t="s">
        <v>107</v>
      </c>
    </row>
    <row r="24" spans="1:3">
      <c r="A24" s="33">
        <v>22</v>
      </c>
      <c r="B24" s="75" t="s">
        <v>200</v>
      </c>
      <c r="C24" s="73" t="s">
        <v>108</v>
      </c>
    </row>
    <row r="25" spans="1:3">
      <c r="A25" s="33">
        <v>23</v>
      </c>
      <c r="B25" s="74" t="s">
        <v>201</v>
      </c>
      <c r="C25" s="72" t="s">
        <v>109</v>
      </c>
    </row>
    <row r="26" spans="1:3" ht="28.8">
      <c r="A26" s="33">
        <v>24</v>
      </c>
      <c r="B26" s="75" t="s">
        <v>194</v>
      </c>
      <c r="C26" s="73" t="s">
        <v>110</v>
      </c>
    </row>
    <row r="27" spans="1:3" ht="28.8">
      <c r="A27" s="33">
        <v>25</v>
      </c>
      <c r="B27" s="74" t="s">
        <v>61</v>
      </c>
      <c r="C27" s="72" t="s">
        <v>111</v>
      </c>
    </row>
    <row r="28" spans="1:3" ht="28.8">
      <c r="A28" s="33">
        <v>26</v>
      </c>
      <c r="B28" s="75" t="s">
        <v>195</v>
      </c>
      <c r="C28" s="73" t="s">
        <v>112</v>
      </c>
    </row>
    <row r="29" spans="1:3">
      <c r="A29" s="33">
        <v>27</v>
      </c>
      <c r="B29" s="74" t="s">
        <v>85</v>
      </c>
      <c r="C29" s="72" t="s">
        <v>113</v>
      </c>
    </row>
    <row r="30" spans="1:3" ht="28.8">
      <c r="A30" s="33">
        <v>28</v>
      </c>
      <c r="B30" s="75" t="s">
        <v>62</v>
      </c>
      <c r="C30" s="73" t="s">
        <v>114</v>
      </c>
    </row>
    <row r="31" spans="1:3" ht="28.8">
      <c r="A31" s="33">
        <v>29</v>
      </c>
      <c r="B31" s="74" t="s">
        <v>202</v>
      </c>
      <c r="C31" s="72" t="s">
        <v>115</v>
      </c>
    </row>
    <row r="32" spans="1:3" ht="28.8">
      <c r="A32" s="33">
        <v>30</v>
      </c>
      <c r="B32" s="75" t="s">
        <v>195</v>
      </c>
      <c r="C32" s="73" t="s">
        <v>116</v>
      </c>
    </row>
    <row r="33" spans="1:3">
      <c r="A33" s="33">
        <v>31</v>
      </c>
      <c r="B33" s="74" t="s">
        <v>63</v>
      </c>
      <c r="C33" s="72" t="s">
        <v>117</v>
      </c>
    </row>
    <row r="34" spans="1:3">
      <c r="A34" s="33">
        <v>32</v>
      </c>
      <c r="B34" s="75" t="s">
        <v>203</v>
      </c>
      <c r="C34" s="73" t="s">
        <v>118</v>
      </c>
    </row>
    <row r="35" spans="1:3">
      <c r="A35" s="33">
        <v>33</v>
      </c>
      <c r="B35" s="74" t="s">
        <v>64</v>
      </c>
      <c r="C35" s="72" t="s">
        <v>119</v>
      </c>
    </row>
    <row r="36" spans="1:3" ht="28.8">
      <c r="A36" s="33">
        <v>34</v>
      </c>
      <c r="B36" s="75" t="s">
        <v>65</v>
      </c>
      <c r="C36" s="73" t="s">
        <v>120</v>
      </c>
    </row>
    <row r="37" spans="1:3" ht="28.8">
      <c r="A37" s="33">
        <v>35</v>
      </c>
      <c r="B37" s="74" t="s">
        <v>204</v>
      </c>
      <c r="C37" s="72" t="s">
        <v>121</v>
      </c>
    </row>
    <row r="38" spans="1:3">
      <c r="A38" s="33">
        <v>36</v>
      </c>
      <c r="B38" s="75" t="s">
        <v>66</v>
      </c>
      <c r="C38" s="73" t="s">
        <v>122</v>
      </c>
    </row>
    <row r="39" spans="1:3">
      <c r="A39" s="33">
        <v>37</v>
      </c>
      <c r="B39" s="74" t="s">
        <v>205</v>
      </c>
      <c r="C39" s="72" t="s">
        <v>123</v>
      </c>
    </row>
    <row r="40" spans="1:3">
      <c r="A40" s="33">
        <v>38</v>
      </c>
      <c r="B40" s="75" t="s">
        <v>206</v>
      </c>
      <c r="C40" s="73" t="s">
        <v>124</v>
      </c>
    </row>
    <row r="41" spans="1:3" ht="28.8">
      <c r="A41" s="33">
        <v>39</v>
      </c>
      <c r="B41" s="74" t="s">
        <v>194</v>
      </c>
      <c r="C41" s="72" t="s">
        <v>125</v>
      </c>
    </row>
    <row r="42" spans="1:3" ht="28.8">
      <c r="A42" s="33">
        <v>40</v>
      </c>
      <c r="B42" s="75" t="s">
        <v>67</v>
      </c>
      <c r="C42" s="73" t="s">
        <v>126</v>
      </c>
    </row>
    <row r="43" spans="1:3" ht="28.8">
      <c r="A43" s="33">
        <v>41</v>
      </c>
      <c r="B43" s="74" t="s">
        <v>194</v>
      </c>
      <c r="C43" s="72" t="s">
        <v>127</v>
      </c>
    </row>
    <row r="44" spans="1:3" ht="28.8">
      <c r="A44" s="33">
        <v>42</v>
      </c>
      <c r="B44" s="75" t="s">
        <v>68</v>
      </c>
      <c r="C44" s="73" t="s">
        <v>128</v>
      </c>
    </row>
    <row r="45" spans="1:3">
      <c r="A45" s="33">
        <v>43</v>
      </c>
      <c r="B45" s="74" t="s">
        <v>69</v>
      </c>
      <c r="C45" s="72" t="s">
        <v>129</v>
      </c>
    </row>
    <row r="46" spans="1:3" ht="28.8">
      <c r="A46" s="33">
        <v>44</v>
      </c>
      <c r="B46" s="75" t="s">
        <v>194</v>
      </c>
      <c r="C46" s="73" t="s">
        <v>130</v>
      </c>
    </row>
    <row r="47" spans="1:3">
      <c r="A47" s="33">
        <v>45</v>
      </c>
      <c r="B47" s="74" t="s">
        <v>207</v>
      </c>
      <c r="C47" s="72" t="s">
        <v>131</v>
      </c>
    </row>
    <row r="48" spans="1:3">
      <c r="A48" s="33">
        <v>46</v>
      </c>
      <c r="B48" s="75" t="s">
        <v>70</v>
      </c>
      <c r="C48" s="73" t="s">
        <v>132</v>
      </c>
    </row>
    <row r="49" spans="1:3" ht="28.8">
      <c r="A49" s="33">
        <v>47</v>
      </c>
      <c r="B49" s="74" t="s">
        <v>71</v>
      </c>
      <c r="C49" s="72" t="s">
        <v>133</v>
      </c>
    </row>
    <row r="50" spans="1:3">
      <c r="A50" s="33">
        <v>48</v>
      </c>
      <c r="B50" s="75" t="s">
        <v>70</v>
      </c>
      <c r="C50" s="73" t="s">
        <v>134</v>
      </c>
    </row>
    <row r="51" spans="1:3">
      <c r="A51" s="33">
        <v>49</v>
      </c>
      <c r="B51" s="74" t="s">
        <v>72</v>
      </c>
      <c r="C51" s="72" t="s">
        <v>135</v>
      </c>
    </row>
    <row r="52" spans="1:3" ht="28.8">
      <c r="A52" s="33">
        <v>50</v>
      </c>
      <c r="B52" s="75" t="s">
        <v>194</v>
      </c>
      <c r="C52" s="73" t="s">
        <v>136</v>
      </c>
    </row>
    <row r="53" spans="1:3">
      <c r="A53" s="33">
        <v>51</v>
      </c>
      <c r="B53" s="74" t="s">
        <v>73</v>
      </c>
      <c r="C53" s="72" t="s">
        <v>137</v>
      </c>
    </row>
    <row r="54" spans="1:3">
      <c r="A54" s="33">
        <v>52</v>
      </c>
      <c r="B54" s="75" t="s">
        <v>207</v>
      </c>
      <c r="C54" s="73" t="s">
        <v>138</v>
      </c>
    </row>
    <row r="55" spans="1:3" ht="28.8">
      <c r="A55" s="33">
        <v>53</v>
      </c>
      <c r="B55" s="74" t="s">
        <v>195</v>
      </c>
      <c r="C55" s="72" t="s">
        <v>139</v>
      </c>
    </row>
    <row r="56" spans="1:3">
      <c r="A56" s="33">
        <v>54</v>
      </c>
      <c r="B56" s="75" t="s">
        <v>41</v>
      </c>
      <c r="C56" s="73" t="s">
        <v>140</v>
      </c>
    </row>
    <row r="57" spans="1:3">
      <c r="A57" s="33">
        <v>55</v>
      </c>
      <c r="B57" s="74" t="s">
        <v>203</v>
      </c>
      <c r="C57" s="72" t="s">
        <v>141</v>
      </c>
    </row>
    <row r="58" spans="1:3">
      <c r="A58" s="33">
        <v>56</v>
      </c>
      <c r="B58" s="75" t="s">
        <v>64</v>
      </c>
      <c r="C58" s="73" t="s">
        <v>142</v>
      </c>
    </row>
    <row r="59" spans="1:3" ht="28.8">
      <c r="A59" s="33">
        <v>57</v>
      </c>
      <c r="B59" s="74" t="s">
        <v>194</v>
      </c>
      <c r="C59" s="72" t="s">
        <v>143</v>
      </c>
    </row>
    <row r="60" spans="1:3" ht="28.8">
      <c r="A60" s="33">
        <v>58</v>
      </c>
      <c r="B60" s="75" t="s">
        <v>55</v>
      </c>
      <c r="C60" s="73" t="s">
        <v>144</v>
      </c>
    </row>
    <row r="61" spans="1:3">
      <c r="A61" s="33">
        <v>59</v>
      </c>
      <c r="B61" s="74" t="s">
        <v>74</v>
      </c>
      <c r="C61" s="72" t="s">
        <v>145</v>
      </c>
    </row>
    <row r="62" spans="1:3" ht="28.8">
      <c r="A62" s="33">
        <v>60</v>
      </c>
      <c r="B62" s="75" t="s">
        <v>75</v>
      </c>
      <c r="C62" s="73" t="s">
        <v>146</v>
      </c>
    </row>
    <row r="63" spans="1:3" ht="28.8">
      <c r="A63" s="33">
        <v>61</v>
      </c>
      <c r="B63" s="74" t="s">
        <v>195</v>
      </c>
      <c r="C63" s="72" t="s">
        <v>147</v>
      </c>
    </row>
    <row r="64" spans="1:3">
      <c r="A64" s="33">
        <v>62</v>
      </c>
      <c r="B64" s="75" t="s">
        <v>215</v>
      </c>
      <c r="C64" s="73" t="s">
        <v>148</v>
      </c>
    </row>
    <row r="65" spans="1:3">
      <c r="A65" s="33">
        <v>63</v>
      </c>
      <c r="B65" s="74" t="s">
        <v>216</v>
      </c>
      <c r="C65" s="72" t="s">
        <v>149</v>
      </c>
    </row>
    <row r="66" spans="1:3" ht="28.8">
      <c r="A66" s="33">
        <v>64</v>
      </c>
      <c r="B66" s="75" t="s">
        <v>212</v>
      </c>
      <c r="C66" s="73" t="s">
        <v>150</v>
      </c>
    </row>
    <row r="67" spans="1:3" ht="28.8">
      <c r="A67" s="33">
        <v>65</v>
      </c>
      <c r="B67" s="74" t="s">
        <v>217</v>
      </c>
      <c r="C67" s="72" t="s">
        <v>151</v>
      </c>
    </row>
    <row r="68" spans="1:3">
      <c r="A68" s="33">
        <v>66</v>
      </c>
      <c r="B68" s="75" t="s">
        <v>64</v>
      </c>
      <c r="C68" s="73" t="s">
        <v>152</v>
      </c>
    </row>
    <row r="69" spans="1:3" ht="28.8">
      <c r="A69" s="33">
        <v>67</v>
      </c>
      <c r="B69" s="74" t="s">
        <v>195</v>
      </c>
      <c r="C69" s="72" t="s">
        <v>153</v>
      </c>
    </row>
    <row r="70" spans="1:3">
      <c r="A70" s="33">
        <v>68</v>
      </c>
      <c r="B70" s="75" t="s">
        <v>218</v>
      </c>
      <c r="C70" s="73" t="s">
        <v>154</v>
      </c>
    </row>
    <row r="71" spans="1:3" ht="28.8">
      <c r="A71" s="33">
        <v>69</v>
      </c>
      <c r="B71" s="74" t="s">
        <v>76</v>
      </c>
      <c r="C71" s="72" t="s">
        <v>155</v>
      </c>
    </row>
    <row r="72" spans="1:3">
      <c r="A72" s="33">
        <v>70</v>
      </c>
      <c r="B72" s="75" t="s">
        <v>77</v>
      </c>
      <c r="C72" s="73" t="s">
        <v>156</v>
      </c>
    </row>
    <row r="73" spans="1:3">
      <c r="A73" s="33">
        <v>71</v>
      </c>
      <c r="B73" s="74" t="s">
        <v>219</v>
      </c>
      <c r="C73" s="72" t="s">
        <v>157</v>
      </c>
    </row>
    <row r="74" spans="1:3" ht="28.8">
      <c r="A74" s="33">
        <v>72</v>
      </c>
      <c r="B74" s="75" t="s">
        <v>195</v>
      </c>
      <c r="C74" s="73" t="s">
        <v>158</v>
      </c>
    </row>
    <row r="75" spans="1:3" ht="28.8">
      <c r="A75" s="33">
        <v>73</v>
      </c>
      <c r="B75" s="74" t="s">
        <v>194</v>
      </c>
      <c r="C75" s="72" t="s">
        <v>159</v>
      </c>
    </row>
    <row r="76" spans="1:3" ht="28.8">
      <c r="A76" s="33">
        <v>74</v>
      </c>
      <c r="B76" s="75" t="s">
        <v>214</v>
      </c>
      <c r="C76" s="73" t="s">
        <v>160</v>
      </c>
    </row>
    <row r="77" spans="1:3" ht="28.8">
      <c r="A77" s="33">
        <v>75</v>
      </c>
      <c r="B77" s="74" t="s">
        <v>78</v>
      </c>
      <c r="C77" s="72" t="s">
        <v>161</v>
      </c>
    </row>
    <row r="78" spans="1:3" ht="28.8">
      <c r="A78" s="33">
        <v>76</v>
      </c>
      <c r="B78" s="75" t="s">
        <v>194</v>
      </c>
      <c r="C78" s="73" t="s">
        <v>162</v>
      </c>
    </row>
    <row r="79" spans="1:3">
      <c r="A79" s="33">
        <v>77</v>
      </c>
      <c r="B79" s="74" t="s">
        <v>201</v>
      </c>
      <c r="C79" s="72" t="s">
        <v>163</v>
      </c>
    </row>
    <row r="80" spans="1:3">
      <c r="A80" s="33">
        <v>78</v>
      </c>
      <c r="B80" s="75" t="s">
        <v>198</v>
      </c>
      <c r="C80" s="73" t="s">
        <v>164</v>
      </c>
    </row>
    <row r="81" spans="1:3" ht="28.8">
      <c r="A81" s="33">
        <v>79</v>
      </c>
      <c r="B81" s="74" t="s">
        <v>195</v>
      </c>
      <c r="C81" s="72" t="s">
        <v>165</v>
      </c>
    </row>
    <row r="82" spans="1:3" ht="28.8">
      <c r="A82" s="33">
        <v>80</v>
      </c>
      <c r="B82" s="75" t="s">
        <v>79</v>
      </c>
      <c r="C82" s="73" t="s">
        <v>166</v>
      </c>
    </row>
    <row r="83" spans="1:3">
      <c r="A83" s="33">
        <v>81</v>
      </c>
      <c r="B83" s="74" t="s">
        <v>40</v>
      </c>
      <c r="C83" s="72" t="s">
        <v>167</v>
      </c>
    </row>
    <row r="84" spans="1:3">
      <c r="A84" s="33">
        <v>82</v>
      </c>
      <c r="B84" s="75" t="s">
        <v>213</v>
      </c>
      <c r="C84" s="73" t="s">
        <v>168</v>
      </c>
    </row>
    <row r="85" spans="1:3" ht="28.8">
      <c r="A85" s="33">
        <v>83</v>
      </c>
      <c r="B85" s="74" t="s">
        <v>80</v>
      </c>
      <c r="C85" s="72" t="s">
        <v>169</v>
      </c>
    </row>
    <row r="86" spans="1:3" ht="28.8">
      <c r="A86" s="33">
        <v>84</v>
      </c>
      <c r="B86" s="75" t="s">
        <v>195</v>
      </c>
      <c r="C86" s="73" t="s">
        <v>170</v>
      </c>
    </row>
    <row r="87" spans="1:3">
      <c r="A87" s="33">
        <v>85</v>
      </c>
      <c r="B87" s="74" t="s">
        <v>77</v>
      </c>
      <c r="C87" s="72" t="s">
        <v>171</v>
      </c>
    </row>
    <row r="88" spans="1:3" ht="28.8">
      <c r="A88" s="33">
        <v>86</v>
      </c>
      <c r="B88" s="75" t="s">
        <v>194</v>
      </c>
      <c r="C88" s="73" t="s">
        <v>172</v>
      </c>
    </row>
    <row r="89" spans="1:3" ht="28.8">
      <c r="A89" s="33">
        <v>87</v>
      </c>
      <c r="B89" s="74" t="s">
        <v>81</v>
      </c>
      <c r="C89" s="72" t="s">
        <v>173</v>
      </c>
    </row>
    <row r="90" spans="1:3" ht="28.8">
      <c r="A90" s="33">
        <v>88</v>
      </c>
      <c r="B90" s="75" t="s">
        <v>210</v>
      </c>
      <c r="C90" s="73" t="s">
        <v>174</v>
      </c>
    </row>
    <row r="91" spans="1:3" ht="28.8">
      <c r="A91" s="33">
        <v>89</v>
      </c>
      <c r="B91" s="74" t="s">
        <v>195</v>
      </c>
      <c r="C91" s="72" t="s">
        <v>175</v>
      </c>
    </row>
    <row r="92" spans="1:3" ht="28.8">
      <c r="A92" s="33">
        <v>90</v>
      </c>
      <c r="B92" s="75" t="s">
        <v>82</v>
      </c>
      <c r="C92" s="73" t="s">
        <v>176</v>
      </c>
    </row>
    <row r="93" spans="1:3" ht="28.8">
      <c r="A93" s="33">
        <v>91</v>
      </c>
      <c r="B93" s="74" t="s">
        <v>195</v>
      </c>
      <c r="C93" s="72" t="s">
        <v>177</v>
      </c>
    </row>
    <row r="94" spans="1:3" ht="28.8">
      <c r="A94" s="33">
        <v>92</v>
      </c>
      <c r="B94" s="75" t="s">
        <v>80</v>
      </c>
      <c r="C94" s="73" t="s">
        <v>169</v>
      </c>
    </row>
    <row r="95" spans="1:3" ht="28.8">
      <c r="A95" s="33">
        <v>93</v>
      </c>
      <c r="B95" s="74" t="s">
        <v>195</v>
      </c>
      <c r="C95" s="72" t="s">
        <v>178</v>
      </c>
    </row>
    <row r="96" spans="1:3">
      <c r="A96" s="33">
        <v>94</v>
      </c>
      <c r="B96" s="75" t="s">
        <v>83</v>
      </c>
      <c r="C96" s="73" t="s">
        <v>179</v>
      </c>
    </row>
    <row r="97" spans="1:3" ht="28.8">
      <c r="A97" s="33">
        <v>95</v>
      </c>
      <c r="B97" s="74" t="s">
        <v>195</v>
      </c>
      <c r="C97" s="72" t="s">
        <v>180</v>
      </c>
    </row>
    <row r="98" spans="1:3" ht="28.8">
      <c r="A98" s="33">
        <v>96</v>
      </c>
      <c r="B98" s="75" t="s">
        <v>212</v>
      </c>
      <c r="C98" s="73" t="s">
        <v>181</v>
      </c>
    </row>
    <row r="99" spans="1:3" ht="28.8">
      <c r="A99" s="33">
        <v>97</v>
      </c>
      <c r="B99" s="74" t="s">
        <v>194</v>
      </c>
      <c r="C99" s="72" t="s">
        <v>182</v>
      </c>
    </row>
    <row r="100" spans="1:3" ht="28.8">
      <c r="A100" s="33">
        <v>98</v>
      </c>
      <c r="B100" s="75" t="s">
        <v>194</v>
      </c>
      <c r="C100" s="73" t="s">
        <v>183</v>
      </c>
    </row>
    <row r="101" spans="1:3">
      <c r="A101" s="33">
        <v>99</v>
      </c>
      <c r="B101" s="74" t="s">
        <v>84</v>
      </c>
      <c r="C101" s="72" t="s">
        <v>184</v>
      </c>
    </row>
    <row r="102" spans="1:3">
      <c r="A102" s="33">
        <v>100</v>
      </c>
      <c r="B102" s="75" t="s">
        <v>77</v>
      </c>
      <c r="C102" s="73" t="s">
        <v>185</v>
      </c>
    </row>
    <row r="103" spans="1:3">
      <c r="A103" s="33">
        <v>101</v>
      </c>
      <c r="B103" s="74" t="s">
        <v>211</v>
      </c>
      <c r="C103" s="72" t="s">
        <v>186</v>
      </c>
    </row>
    <row r="104" spans="1:3" ht="28.8">
      <c r="A104" s="33">
        <v>102</v>
      </c>
      <c r="B104" s="75" t="s">
        <v>210</v>
      </c>
      <c r="C104" s="73" t="s">
        <v>174</v>
      </c>
    </row>
    <row r="105" spans="1:3">
      <c r="A105" s="33">
        <v>103</v>
      </c>
      <c r="B105" s="74" t="s">
        <v>209</v>
      </c>
      <c r="C105" s="72" t="s">
        <v>187</v>
      </c>
    </row>
    <row r="106" spans="1:3">
      <c r="A106" s="33">
        <v>104</v>
      </c>
      <c r="B106" s="75" t="s">
        <v>85</v>
      </c>
      <c r="C106" s="73" t="s">
        <v>188</v>
      </c>
    </row>
    <row r="107" spans="1:3" ht="28.8">
      <c r="A107" s="33">
        <v>105</v>
      </c>
      <c r="B107" s="74" t="s">
        <v>195</v>
      </c>
      <c r="C107" s="72" t="s">
        <v>189</v>
      </c>
    </row>
    <row r="108" spans="1:3" ht="28.8">
      <c r="A108" s="33">
        <v>106</v>
      </c>
      <c r="B108" s="75" t="s">
        <v>86</v>
      </c>
      <c r="C108" s="73" t="s">
        <v>190</v>
      </c>
    </row>
    <row r="109" spans="1:3">
      <c r="A109" s="33">
        <v>107</v>
      </c>
      <c r="B109" s="74" t="s">
        <v>42</v>
      </c>
      <c r="C109" s="72" t="s">
        <v>191</v>
      </c>
    </row>
    <row r="110" spans="1:3">
      <c r="A110" s="33">
        <v>108</v>
      </c>
      <c r="B110" s="75" t="s">
        <v>208</v>
      </c>
      <c r="C110" s="73" t="s">
        <v>192</v>
      </c>
    </row>
    <row r="111" spans="1:3" ht="28.8">
      <c r="A111" s="33">
        <v>109</v>
      </c>
      <c r="B111" s="74" t="s">
        <v>194</v>
      </c>
      <c r="C111" s="72" t="s">
        <v>193</v>
      </c>
    </row>
    <row r="112" spans="1:3">
      <c r="A112" s="33"/>
      <c r="B112" s="75"/>
      <c r="C112" s="71"/>
    </row>
    <row r="113" spans="1:3">
      <c r="A113" s="33"/>
      <c r="B113" s="74"/>
      <c r="C113" s="70"/>
    </row>
    <row r="114" spans="1:3">
      <c r="A114" s="33"/>
      <c r="B114" s="75"/>
      <c r="C114" s="71"/>
    </row>
    <row r="115" spans="1:3">
      <c r="A115" s="33"/>
      <c r="B115" s="65"/>
      <c r="C115" s="68"/>
    </row>
    <row r="116" spans="1:3">
      <c r="A116" s="33"/>
      <c r="B116" s="64"/>
      <c r="C116" s="67"/>
    </row>
    <row r="117" spans="1:3">
      <c r="A117" s="33"/>
      <c r="B117" s="65"/>
      <c r="C117" s="68"/>
    </row>
    <row r="118" spans="1:3">
      <c r="A118" s="33"/>
      <c r="B118" s="64"/>
      <c r="C118" s="67"/>
    </row>
    <row r="119" spans="1:3">
      <c r="A119" s="33"/>
      <c r="B119" s="65"/>
      <c r="C119" s="68"/>
    </row>
    <row r="120" spans="1:3">
      <c r="A120" s="33"/>
      <c r="B120" s="64"/>
      <c r="C120" s="67"/>
    </row>
    <row r="121" spans="1:3">
      <c r="A121" s="33"/>
      <c r="B121" s="65"/>
      <c r="C121" s="68"/>
    </row>
    <row r="122" spans="1:3">
      <c r="A122" s="33"/>
      <c r="B122" s="64"/>
      <c r="C122" s="67"/>
    </row>
    <row r="123" spans="1:3">
      <c r="A123" s="33"/>
      <c r="B123" s="65"/>
      <c r="C123" s="68"/>
    </row>
    <row r="124" spans="1:3">
      <c r="A124" s="33"/>
      <c r="B124" s="64"/>
      <c r="C124" s="67"/>
    </row>
    <row r="125" spans="1:3">
      <c r="A125" s="33"/>
      <c r="B125" s="65"/>
      <c r="C125" s="68"/>
    </row>
    <row r="126" spans="1:3">
      <c r="A126" s="33"/>
      <c r="B126" s="64"/>
      <c r="C126" s="67"/>
    </row>
    <row r="127" spans="1:3">
      <c r="A127" s="33"/>
      <c r="B127" s="65"/>
      <c r="C127" s="68"/>
    </row>
    <row r="128" spans="1:3">
      <c r="A128" s="33"/>
      <c r="B128" s="64"/>
      <c r="C128" s="67"/>
    </row>
    <row r="129" spans="1:3">
      <c r="A129" s="33"/>
      <c r="B129" s="65"/>
      <c r="C129" s="68"/>
    </row>
    <row r="130" spans="1:3">
      <c r="A130" s="33"/>
      <c r="B130" s="64"/>
      <c r="C130" s="67"/>
    </row>
    <row r="131" spans="1:3">
      <c r="A131" s="33"/>
      <c r="B131" s="65"/>
      <c r="C131" s="68"/>
    </row>
    <row r="132" spans="1:3">
      <c r="A132" s="33"/>
      <c r="B132" s="64"/>
      <c r="C132" s="67"/>
    </row>
    <row r="133" spans="1:3">
      <c r="A133" s="33"/>
      <c r="B133" s="65"/>
      <c r="C133" s="68"/>
    </row>
    <row r="134" spans="1:3">
      <c r="A134" s="33"/>
      <c r="B134" s="64"/>
      <c r="C134" s="67"/>
    </row>
    <row r="135" spans="1:3">
      <c r="A135" s="33"/>
      <c r="B135" s="65"/>
      <c r="C135" s="68"/>
    </row>
    <row r="136" spans="1:3">
      <c r="A136" s="33"/>
      <c r="B136" s="64"/>
      <c r="C136" s="67"/>
    </row>
    <row r="137" spans="1:3">
      <c r="A137" s="33"/>
      <c r="B137" s="65"/>
      <c r="C137" s="68"/>
    </row>
    <row r="138" spans="1:3">
      <c r="A138" s="33"/>
      <c r="B138" s="64"/>
      <c r="C138" s="67"/>
    </row>
    <row r="139" spans="1:3">
      <c r="A139" s="33"/>
      <c r="B139" s="65"/>
      <c r="C139" s="68"/>
    </row>
    <row r="140" spans="1:3">
      <c r="A140" s="33"/>
      <c r="B140" s="64"/>
      <c r="C140" s="67"/>
    </row>
    <row r="141" spans="1:3">
      <c r="A141" s="33"/>
      <c r="B141" s="65"/>
      <c r="C141" s="68"/>
    </row>
    <row r="142" spans="1:3">
      <c r="A142" s="33"/>
      <c r="B142" s="64"/>
      <c r="C142" s="67"/>
    </row>
    <row r="143" spans="1:3">
      <c r="A143" s="33"/>
      <c r="B143" s="65"/>
      <c r="C143" s="68"/>
    </row>
    <row r="144" spans="1:3">
      <c r="A144" s="33"/>
      <c r="B144" s="64"/>
      <c r="C144" s="67"/>
    </row>
    <row r="145" spans="1:3">
      <c r="A145" s="33"/>
      <c r="B145" s="65"/>
      <c r="C145" s="68"/>
    </row>
    <row r="146" spans="1:3">
      <c r="A146" s="33"/>
      <c r="B146" s="64"/>
      <c r="C146" s="67"/>
    </row>
    <row r="147" spans="1:3">
      <c r="A147" s="33"/>
      <c r="B147" s="65"/>
      <c r="C147" s="68"/>
    </row>
    <row r="148" spans="1:3">
      <c r="A148" s="33"/>
      <c r="B148" s="64"/>
      <c r="C148" s="67"/>
    </row>
    <row r="149" spans="1:3">
      <c r="A149" s="33"/>
      <c r="B149" s="65"/>
      <c r="C149" s="68"/>
    </row>
    <row r="150" spans="1:3">
      <c r="A150" s="33"/>
      <c r="B150" s="64"/>
      <c r="C150" s="67"/>
    </row>
    <row r="151" spans="1:3">
      <c r="A151" s="33"/>
      <c r="B151" s="65"/>
      <c r="C151" s="68"/>
    </row>
    <row r="152" spans="1:3">
      <c r="A152" s="33"/>
      <c r="B152" s="64"/>
      <c r="C152" s="67"/>
    </row>
    <row r="153" spans="1:3">
      <c r="A153" s="33"/>
      <c r="B153" s="65"/>
      <c r="C153" s="68"/>
    </row>
    <row r="154" spans="1:3">
      <c r="A154" s="33"/>
      <c r="B154" s="64"/>
      <c r="C154" s="67"/>
    </row>
    <row r="155" spans="1:3">
      <c r="A155" s="33"/>
      <c r="B155" s="65"/>
      <c r="C155" s="68"/>
    </row>
    <row r="156" spans="1:3">
      <c r="A156" s="33"/>
      <c r="B156" s="64"/>
      <c r="C156" s="67"/>
    </row>
    <row r="157" spans="1:3">
      <c r="A157" s="33"/>
      <c r="B157" s="65"/>
      <c r="C157" s="68"/>
    </row>
    <row r="158" spans="1:3">
      <c r="A158" s="33"/>
      <c r="B158" s="64"/>
      <c r="C158" s="67"/>
    </row>
    <row r="159" spans="1:3">
      <c r="A159" s="33"/>
      <c r="B159" s="65"/>
      <c r="C159" s="68"/>
    </row>
    <row r="160" spans="1:3">
      <c r="A160" s="33"/>
      <c r="B160" s="64"/>
      <c r="C160" s="67"/>
    </row>
    <row r="161" spans="1:3">
      <c r="A161" s="33"/>
      <c r="B161" s="65"/>
      <c r="C161" s="68"/>
    </row>
    <row r="162" spans="1:3">
      <c r="A162" s="33"/>
      <c r="B162" s="64"/>
      <c r="C162" s="67"/>
    </row>
    <row r="163" spans="1:3">
      <c r="A163" s="33"/>
      <c r="B163" s="65"/>
      <c r="C163" s="68"/>
    </row>
    <row r="164" spans="1:3">
      <c r="A164" s="33"/>
      <c r="B164" s="64"/>
      <c r="C164" s="67"/>
    </row>
    <row r="165" spans="1:3">
      <c r="A165" s="33"/>
      <c r="B165" s="65"/>
      <c r="C165" s="68"/>
    </row>
    <row r="166" spans="1:3">
      <c r="A166" s="33"/>
      <c r="B166" s="64"/>
      <c r="C166" s="67"/>
    </row>
    <row r="167" spans="1:3">
      <c r="A167" s="33"/>
      <c r="B167" s="65"/>
      <c r="C167" s="68"/>
    </row>
    <row r="168" spans="1:3">
      <c r="A168" s="33"/>
      <c r="B168" s="64"/>
      <c r="C168" s="67"/>
    </row>
    <row r="169" spans="1:3">
      <c r="A169" s="33"/>
      <c r="B169" s="65"/>
      <c r="C169" s="68"/>
    </row>
    <row r="170" spans="1:3">
      <c r="A170" s="33"/>
      <c r="B170" s="64"/>
      <c r="C170" s="67"/>
    </row>
    <row r="171" spans="1:3">
      <c r="A171" s="33"/>
      <c r="B171" s="65"/>
      <c r="C171" s="68"/>
    </row>
    <row r="172" spans="1:3">
      <c r="A172" s="33"/>
      <c r="B172" s="64"/>
      <c r="C172" s="67"/>
    </row>
    <row r="173" spans="1:3">
      <c r="A173" s="33"/>
      <c r="B173" s="65"/>
      <c r="C173" s="68"/>
    </row>
    <row r="174" spans="1:3">
      <c r="A174" s="33"/>
      <c r="B174" s="64"/>
      <c r="C174" s="67"/>
    </row>
    <row r="175" spans="1:3">
      <c r="A175" s="33"/>
      <c r="B175" s="65"/>
      <c r="C175" s="68"/>
    </row>
    <row r="176" spans="1:3">
      <c r="A176" s="33"/>
      <c r="B176" s="64"/>
      <c r="C176" s="67"/>
    </row>
    <row r="177" spans="1:3">
      <c r="A177" s="33"/>
      <c r="B177" s="65"/>
      <c r="C177" s="68"/>
    </row>
    <row r="178" spans="1:3">
      <c r="A178" s="33"/>
      <c r="B178" s="64"/>
      <c r="C178" s="67"/>
    </row>
    <row r="179" spans="1:3">
      <c r="A179" s="33"/>
      <c r="B179" s="65"/>
      <c r="C179" s="68"/>
    </row>
    <row r="180" spans="1:3">
      <c r="A180" s="33"/>
      <c r="B180" s="64"/>
      <c r="C180" s="67"/>
    </row>
    <row r="181" spans="1:3">
      <c r="A181" s="33"/>
      <c r="B181" s="65"/>
      <c r="C181" s="68"/>
    </row>
    <row r="182" spans="1:3">
      <c r="A182" s="33"/>
      <c r="B182" s="64"/>
      <c r="C182" s="67"/>
    </row>
    <row r="183" spans="1:3">
      <c r="A183" s="33"/>
      <c r="B183" s="65"/>
      <c r="C183" s="68"/>
    </row>
    <row r="184" spans="1:3">
      <c r="A184" s="33"/>
      <c r="B184" s="64"/>
      <c r="C184" s="67"/>
    </row>
    <row r="185" spans="1:3">
      <c r="A185" s="33"/>
      <c r="B185" s="65"/>
      <c r="C185" s="68"/>
    </row>
    <row r="186" spans="1:3">
      <c r="A186" s="33"/>
      <c r="B186" s="64"/>
      <c r="C186" s="67"/>
    </row>
    <row r="187" spans="1:3">
      <c r="A187" s="33"/>
      <c r="B187" s="65"/>
      <c r="C187" s="68"/>
    </row>
    <row r="188" spans="1:3">
      <c r="A188" s="33"/>
      <c r="B188" s="64"/>
      <c r="C188" s="67"/>
    </row>
    <row r="189" spans="1:3">
      <c r="A189" s="33"/>
      <c r="B189" s="65"/>
      <c r="C189" s="68"/>
    </row>
    <row r="190" spans="1:3">
      <c r="A190" s="33"/>
      <c r="B190" s="64"/>
      <c r="C190" s="67"/>
    </row>
    <row r="191" spans="1:3">
      <c r="A191" s="33"/>
      <c r="B191" s="65"/>
      <c r="C191" s="68"/>
    </row>
    <row r="192" spans="1:3">
      <c r="A192" s="33"/>
      <c r="B192" s="64"/>
      <c r="C192" s="67"/>
    </row>
    <row r="193" spans="1:3">
      <c r="A193" s="33"/>
      <c r="B193" s="65"/>
      <c r="C193" s="68"/>
    </row>
    <row r="194" spans="1:3">
      <c r="A194" s="33"/>
      <c r="B194" s="64"/>
      <c r="C194" s="67"/>
    </row>
    <row r="195" spans="1:3">
      <c r="A195" s="33"/>
      <c r="B195" s="65"/>
      <c r="C195" s="68"/>
    </row>
    <row r="196" spans="1:3">
      <c r="A196" s="33"/>
      <c r="B196" s="64"/>
      <c r="C196" s="67"/>
    </row>
    <row r="197" spans="1:3">
      <c r="A197" s="33"/>
      <c r="B197" s="65"/>
      <c r="C197" s="68"/>
    </row>
    <row r="198" spans="1:3">
      <c r="A198" s="33"/>
      <c r="B198" s="64"/>
      <c r="C198" s="67"/>
    </row>
    <row r="199" spans="1:3">
      <c r="A199" s="33"/>
      <c r="B199" s="65"/>
      <c r="C199" s="68"/>
    </row>
    <row r="200" spans="1:3">
      <c r="A200" s="33"/>
      <c r="B200" s="64"/>
      <c r="C200" s="67"/>
    </row>
    <row r="201" spans="1:3">
      <c r="A201" s="33"/>
      <c r="B201" s="65"/>
      <c r="C201" s="68"/>
    </row>
    <row r="202" spans="1:3">
      <c r="A202" s="33"/>
      <c r="B202" s="64"/>
      <c r="C202" s="67"/>
    </row>
    <row r="203" spans="1:3">
      <c r="A203" s="33"/>
      <c r="B203" s="65"/>
      <c r="C203" s="68"/>
    </row>
    <row r="204" spans="1:3">
      <c r="A204" s="33"/>
      <c r="B204" s="64"/>
      <c r="C204" s="67"/>
    </row>
    <row r="205" spans="1:3">
      <c r="A205" s="33"/>
      <c r="B205" s="65"/>
      <c r="C205" s="68"/>
    </row>
    <row r="206" spans="1:3">
      <c r="A206" s="33"/>
      <c r="B206" s="64"/>
      <c r="C206" s="67"/>
    </row>
    <row r="207" spans="1:3">
      <c r="A207" s="33"/>
      <c r="B207" s="65"/>
      <c r="C207" s="68"/>
    </row>
    <row r="208" spans="1:3">
      <c r="A208" s="33"/>
      <c r="B208" s="64"/>
      <c r="C208" s="67"/>
    </row>
    <row r="209" spans="1:3">
      <c r="A209" s="33"/>
      <c r="B209" s="65"/>
      <c r="C209" s="68"/>
    </row>
    <row r="210" spans="1:3">
      <c r="A210" s="33"/>
      <c r="B210" s="64"/>
      <c r="C210" s="67"/>
    </row>
    <row r="211" spans="1:3">
      <c r="A211" s="33"/>
      <c r="B211" s="65"/>
      <c r="C211" s="68"/>
    </row>
    <row r="212" spans="1:3">
      <c r="A212" s="33"/>
      <c r="B212" s="64"/>
      <c r="C212" s="67"/>
    </row>
    <row r="213" spans="1:3">
      <c r="A213" s="33"/>
      <c r="B213" s="65"/>
      <c r="C213" s="68"/>
    </row>
    <row r="214" spans="1:3">
      <c r="A214" s="33"/>
      <c r="B214" s="64"/>
      <c r="C214" s="67"/>
    </row>
    <row r="215" spans="1:3">
      <c r="A215" s="33"/>
      <c r="B215" s="65"/>
      <c r="C215" s="68"/>
    </row>
    <row r="216" spans="1:3">
      <c r="A216" s="33"/>
      <c r="B216" s="64"/>
      <c r="C216" s="67"/>
    </row>
    <row r="217" spans="1:3">
      <c r="A217" s="33"/>
      <c r="B217" s="65"/>
      <c r="C217" s="68"/>
    </row>
    <row r="218" spans="1:3">
      <c r="A218" s="33"/>
      <c r="B218" s="64"/>
      <c r="C218" s="67"/>
    </row>
    <row r="219" spans="1:3">
      <c r="A219" s="33"/>
      <c r="B219" s="65"/>
      <c r="C219" s="68"/>
    </row>
    <row r="220" spans="1:3">
      <c r="A220" s="33"/>
      <c r="B220" s="64"/>
      <c r="C220" s="67"/>
    </row>
    <row r="221" spans="1:3">
      <c r="A221" s="33"/>
      <c r="B221" s="65"/>
      <c r="C221" s="68"/>
    </row>
    <row r="222" spans="1:3">
      <c r="A222" s="33"/>
      <c r="B222" s="64"/>
      <c r="C222" s="67"/>
    </row>
    <row r="223" spans="1:3">
      <c r="A223" s="33"/>
      <c r="B223" s="65"/>
      <c r="C223" s="68"/>
    </row>
    <row r="224" spans="1:3">
      <c r="A224" s="33"/>
      <c r="B224" s="64"/>
      <c r="C224" s="67"/>
    </row>
    <row r="225" spans="1:3">
      <c r="A225" s="33"/>
      <c r="B225" s="65"/>
      <c r="C225" s="68"/>
    </row>
    <row r="226" spans="1:3">
      <c r="A226" s="33"/>
      <c r="B226" s="64"/>
      <c r="C226" s="67"/>
    </row>
    <row r="227" spans="1:3">
      <c r="A227" s="33"/>
      <c r="B227" s="65"/>
      <c r="C227" s="68"/>
    </row>
    <row r="228" spans="1:3">
      <c r="A228" s="33"/>
      <c r="B228" s="64"/>
      <c r="C228" s="67"/>
    </row>
    <row r="229" spans="1:3">
      <c r="A229" s="33"/>
      <c r="B229" s="65"/>
      <c r="C229" s="68"/>
    </row>
    <row r="230" spans="1:3">
      <c r="A230" s="33"/>
      <c r="B230" s="64"/>
      <c r="C230" s="67"/>
    </row>
    <row r="231" spans="1:3">
      <c r="A231" s="33"/>
      <c r="B231" s="65"/>
      <c r="C231" s="68"/>
    </row>
    <row r="232" spans="1:3">
      <c r="A232" s="33"/>
      <c r="B232" s="64"/>
      <c r="C232" s="67"/>
    </row>
    <row r="233" spans="1:3">
      <c r="A233" s="33"/>
      <c r="B233" s="65"/>
      <c r="C233" s="68"/>
    </row>
    <row r="234" spans="1:3">
      <c r="A234" s="33"/>
      <c r="B234" s="64"/>
      <c r="C234" s="67"/>
    </row>
    <row r="235" spans="1:3">
      <c r="A235" s="33"/>
      <c r="B235" s="65"/>
      <c r="C235" s="68"/>
    </row>
    <row r="236" spans="1:3">
      <c r="A236" s="33"/>
      <c r="B236" s="64"/>
      <c r="C236" s="67"/>
    </row>
    <row r="237" spans="1:3">
      <c r="A237" s="33"/>
      <c r="B237" s="65"/>
      <c r="C237" s="68"/>
    </row>
    <row r="238" spans="1:3">
      <c r="A238" s="33"/>
      <c r="B238" s="64"/>
      <c r="C238" s="67"/>
    </row>
    <row r="239" spans="1:3">
      <c r="A239" s="33"/>
      <c r="B239" s="65"/>
      <c r="C239" s="68"/>
    </row>
    <row r="240" spans="1:3">
      <c r="A240" s="33"/>
      <c r="B240" s="64"/>
      <c r="C240" s="67"/>
    </row>
    <row r="241" spans="1:3">
      <c r="A241" s="33"/>
      <c r="B241" s="65"/>
      <c r="C241" s="68"/>
    </row>
    <row r="242" spans="1:3">
      <c r="A242" s="33"/>
      <c r="B242" s="64"/>
      <c r="C242" s="67"/>
    </row>
    <row r="243" spans="1:3">
      <c r="A243" s="33"/>
      <c r="B243" s="65"/>
      <c r="C243" s="68"/>
    </row>
    <row r="244" spans="1:3">
      <c r="A244" s="33"/>
      <c r="B244" s="64"/>
      <c r="C244" s="67"/>
    </row>
    <row r="245" spans="1:3">
      <c r="A245" s="33"/>
      <c r="B245" s="65"/>
      <c r="C245" s="68"/>
    </row>
    <row r="246" spans="1:3">
      <c r="A246" s="33"/>
      <c r="B246" s="64"/>
      <c r="C246" s="67"/>
    </row>
    <row r="247" spans="1:3">
      <c r="A247" s="33"/>
      <c r="B247" s="65"/>
      <c r="C247" s="68"/>
    </row>
    <row r="248" spans="1:3">
      <c r="A248" s="33"/>
      <c r="B248" s="64"/>
      <c r="C248" s="67"/>
    </row>
    <row r="249" spans="1:3">
      <c r="A249" s="33"/>
      <c r="B249" s="65"/>
      <c r="C249" s="68"/>
    </row>
    <row r="250" spans="1:3">
      <c r="A250" s="33"/>
      <c r="B250" s="64"/>
      <c r="C250" s="67"/>
    </row>
    <row r="251" spans="1:3">
      <c r="A251" s="33"/>
      <c r="B251" s="65"/>
      <c r="C251" s="68"/>
    </row>
    <row r="252" spans="1:3">
      <c r="A252" s="33"/>
      <c r="B252" s="64"/>
      <c r="C252" s="67"/>
    </row>
    <row r="253" spans="1:3">
      <c r="A253" s="33"/>
      <c r="B253" s="65"/>
      <c r="C253" s="68"/>
    </row>
    <row r="254" spans="1:3">
      <c r="A254" s="33"/>
      <c r="B254" s="64"/>
      <c r="C254" s="67"/>
    </row>
    <row r="255" spans="1:3">
      <c r="A255" s="33"/>
      <c r="B255" s="65"/>
      <c r="C255" s="68"/>
    </row>
    <row r="256" spans="1:3">
      <c r="A256" s="33"/>
      <c r="B256" s="64"/>
      <c r="C256" s="67"/>
    </row>
    <row r="257" spans="1:3">
      <c r="A257" s="33"/>
      <c r="B257" s="65"/>
      <c r="C257" s="68"/>
    </row>
    <row r="258" spans="1:3">
      <c r="A258" s="33"/>
      <c r="B258" s="64"/>
      <c r="C258" s="67"/>
    </row>
    <row r="259" spans="1:3">
      <c r="A259" s="33"/>
      <c r="B259" s="65"/>
      <c r="C259" s="68"/>
    </row>
    <row r="260" spans="1:3">
      <c r="A260" s="33"/>
      <c r="B260" s="64"/>
      <c r="C260" s="67"/>
    </row>
    <row r="261" spans="1:3">
      <c r="A261" s="33"/>
      <c r="B261" s="65"/>
      <c r="C261" s="68"/>
    </row>
    <row r="262" spans="1:3">
      <c r="A262" s="33"/>
      <c r="B262" s="64"/>
      <c r="C262" s="67"/>
    </row>
    <row r="263" spans="1:3">
      <c r="A263" s="33"/>
      <c r="B263" s="65"/>
      <c r="C263" s="68"/>
    </row>
    <row r="264" spans="1:3">
      <c r="A264" s="33"/>
      <c r="B264" s="64"/>
      <c r="C264" s="67"/>
    </row>
    <row r="265" spans="1:3">
      <c r="A265" s="33"/>
      <c r="B265" s="65"/>
      <c r="C265" s="68"/>
    </row>
    <row r="266" spans="1:3">
      <c r="A266" s="33"/>
      <c r="B266" s="64"/>
      <c r="C266" s="67"/>
    </row>
    <row r="267" spans="1:3">
      <c r="A267" s="33"/>
      <c r="B267" s="65"/>
      <c r="C267" s="68"/>
    </row>
    <row r="268" spans="1:3">
      <c r="A268" s="33"/>
      <c r="B268" s="64"/>
      <c r="C268" s="67"/>
    </row>
    <row r="269" spans="1:3">
      <c r="A269" s="33"/>
      <c r="B269" s="65"/>
      <c r="C269" s="68"/>
    </row>
    <row r="270" spans="1:3">
      <c r="A270" s="33"/>
      <c r="B270" s="64"/>
      <c r="C270" s="67"/>
    </row>
    <row r="271" spans="1:3">
      <c r="A271" s="33"/>
      <c r="B271" s="65"/>
      <c r="C271" s="68"/>
    </row>
    <row r="272" spans="1:3">
      <c r="A272" s="33"/>
      <c r="B272" s="64"/>
      <c r="C272" s="67"/>
    </row>
    <row r="273" spans="1:3">
      <c r="A273" s="33"/>
      <c r="B273" s="65"/>
      <c r="C273" s="68"/>
    </row>
    <row r="274" spans="1:3">
      <c r="A274" s="33"/>
      <c r="B274" s="64"/>
      <c r="C274" s="67"/>
    </row>
    <row r="275" spans="1:3">
      <c r="A275" s="33"/>
      <c r="B275" s="65"/>
      <c r="C275" s="68"/>
    </row>
    <row r="276" spans="1:3">
      <c r="A276" s="33"/>
      <c r="B276" s="64"/>
      <c r="C276" s="67"/>
    </row>
    <row r="277" spans="1:3">
      <c r="A277" s="33"/>
      <c r="B277" s="65"/>
      <c r="C277" s="68"/>
    </row>
    <row r="278" spans="1:3">
      <c r="A278" s="33"/>
      <c r="B278" s="64"/>
      <c r="C278" s="67"/>
    </row>
    <row r="279" spans="1:3">
      <c r="A279" s="33"/>
      <c r="B279" s="65"/>
      <c r="C279" s="68"/>
    </row>
    <row r="280" spans="1:3">
      <c r="A280" s="33"/>
      <c r="B280" s="64"/>
      <c r="C280" s="67"/>
    </row>
    <row r="281" spans="1:3">
      <c r="A281" s="33"/>
      <c r="B281" s="65"/>
      <c r="C281" s="68"/>
    </row>
    <row r="282" spans="1:3">
      <c r="A282" s="33"/>
      <c r="B282" s="64"/>
      <c r="C282" s="67"/>
    </row>
    <row r="283" spans="1:3">
      <c r="A283" s="33"/>
      <c r="B283" s="65"/>
      <c r="C283" s="68"/>
    </row>
    <row r="284" spans="1:3">
      <c r="A284" s="33"/>
      <c r="B284" s="64"/>
      <c r="C284" s="67"/>
    </row>
    <row r="285" spans="1:3">
      <c r="A285" s="33"/>
      <c r="B285" s="65"/>
      <c r="C285" s="68"/>
    </row>
    <row r="286" spans="1:3">
      <c r="A286" s="33"/>
      <c r="B286" s="64"/>
      <c r="C286" s="67"/>
    </row>
    <row r="287" spans="1:3">
      <c r="A287" s="33"/>
      <c r="B287" s="65"/>
      <c r="C287" s="68"/>
    </row>
    <row r="288" spans="1:3">
      <c r="A288" s="33"/>
      <c r="B288" s="64"/>
      <c r="C288" s="67"/>
    </row>
    <row r="289" spans="1:3">
      <c r="A289" s="33"/>
      <c r="B289" s="65"/>
      <c r="C289" s="68"/>
    </row>
    <row r="290" spans="1:3">
      <c r="A290" s="33"/>
      <c r="B290" s="64"/>
      <c r="C290" s="67"/>
    </row>
    <row r="291" spans="1:3">
      <c r="A291" s="33"/>
      <c r="B291" s="65"/>
      <c r="C291" s="68"/>
    </row>
    <row r="292" spans="1:3">
      <c r="A292" s="33"/>
      <c r="B292" s="64"/>
      <c r="C292" s="67"/>
    </row>
    <row r="293" spans="1:3">
      <c r="A293" s="33"/>
      <c r="B293" s="65"/>
      <c r="C293" s="68"/>
    </row>
    <row r="294" spans="1:3">
      <c r="A294" s="33"/>
      <c r="B294" s="64"/>
      <c r="C294" s="67"/>
    </row>
    <row r="295" spans="1:3">
      <c r="A295" s="33"/>
      <c r="B295" s="65"/>
      <c r="C295" s="68"/>
    </row>
    <row r="296" spans="1:3">
      <c r="A296" s="33"/>
      <c r="B296" s="64"/>
      <c r="C296" s="67"/>
    </row>
    <row r="297" spans="1:3">
      <c r="A297" s="33"/>
      <c r="B297" s="65"/>
      <c r="C297" s="68"/>
    </row>
    <row r="298" spans="1:3">
      <c r="A298" s="33"/>
      <c r="B298" s="64"/>
      <c r="C298" s="67"/>
    </row>
    <row r="299" spans="1:3">
      <c r="A299" s="33"/>
      <c r="B299" s="65"/>
      <c r="C299" s="68"/>
    </row>
    <row r="300" spans="1:3">
      <c r="A300" s="33"/>
      <c r="B300" s="64"/>
      <c r="C300" s="67"/>
    </row>
    <row r="301" spans="1:3">
      <c r="A301" s="33"/>
      <c r="B301" s="65"/>
      <c r="C301" s="68"/>
    </row>
    <row r="302" spans="1:3">
      <c r="A302" s="33"/>
      <c r="B302" s="64"/>
      <c r="C302" s="67"/>
    </row>
    <row r="303" spans="1:3">
      <c r="A303" s="33"/>
      <c r="B303" s="65"/>
      <c r="C303" s="68"/>
    </row>
    <row r="304" spans="1:3">
      <c r="A304" s="33"/>
      <c r="B304" s="64"/>
      <c r="C304" s="67"/>
    </row>
    <row r="305" spans="1:3">
      <c r="A305" s="33"/>
      <c r="B305" s="65"/>
      <c r="C305" s="68"/>
    </row>
    <row r="306" spans="1:3">
      <c r="A306" s="33"/>
      <c r="B306" s="64"/>
      <c r="C306" s="67"/>
    </row>
    <row r="307" spans="1:3">
      <c r="A307" s="33"/>
      <c r="B307" s="65"/>
      <c r="C307" s="68"/>
    </row>
    <row r="308" spans="1:3">
      <c r="A308" s="33"/>
      <c r="B308" s="64"/>
      <c r="C308" s="67"/>
    </row>
    <row r="309" spans="1:3">
      <c r="A309" s="33"/>
      <c r="B309" s="65"/>
      <c r="C309" s="68"/>
    </row>
    <row r="310" spans="1:3">
      <c r="A310" s="33"/>
      <c r="B310" s="64"/>
      <c r="C310" s="67"/>
    </row>
    <row r="311" spans="1:3">
      <c r="A311" s="33"/>
      <c r="B311" s="65"/>
      <c r="C311" s="68"/>
    </row>
    <row r="312" spans="1:3">
      <c r="A312" s="33"/>
      <c r="B312" s="64"/>
      <c r="C312" s="67"/>
    </row>
    <row r="313" spans="1:3">
      <c r="A313" s="33"/>
      <c r="B313" s="65"/>
      <c r="C313" s="68"/>
    </row>
    <row r="314" spans="1:3">
      <c r="A314" s="33"/>
      <c r="B314" s="64"/>
      <c r="C314" s="67"/>
    </row>
    <row r="315" spans="1:3">
      <c r="A315" s="33"/>
      <c r="B315" s="65"/>
      <c r="C315" s="68"/>
    </row>
    <row r="316" spans="1:3">
      <c r="A316" s="33"/>
      <c r="B316" s="64"/>
      <c r="C316" s="67"/>
    </row>
    <row r="317" spans="1:3">
      <c r="A317" s="33"/>
      <c r="B317" s="65"/>
      <c r="C317" s="68"/>
    </row>
    <row r="318" spans="1:3">
      <c r="A318" s="33"/>
      <c r="B318" s="64"/>
      <c r="C318" s="67"/>
    </row>
    <row r="319" spans="1:3">
      <c r="A319" s="33"/>
      <c r="B319" s="65"/>
      <c r="C319" s="68"/>
    </row>
    <row r="320" spans="1:3">
      <c r="A320" s="33"/>
      <c r="B320" s="64"/>
      <c r="C320" s="67"/>
    </row>
    <row r="321" spans="1:3">
      <c r="A321" s="33"/>
      <c r="B321" s="65"/>
      <c r="C321" s="68"/>
    </row>
    <row r="322" spans="1:3">
      <c r="A322" s="33"/>
      <c r="B322" s="64"/>
      <c r="C322" s="67"/>
    </row>
    <row r="323" spans="1:3">
      <c r="A323" s="33"/>
      <c r="B323" s="65"/>
      <c r="C323" s="68"/>
    </row>
    <row r="324" spans="1:3">
      <c r="A324" s="33"/>
      <c r="B324" s="64"/>
      <c r="C324" s="67"/>
    </row>
    <row r="325" spans="1:3">
      <c r="A325" s="33"/>
      <c r="B325" s="65"/>
      <c r="C325" s="68"/>
    </row>
    <row r="326" spans="1:3">
      <c r="A326" s="33"/>
      <c r="B326" s="64"/>
      <c r="C326" s="67"/>
    </row>
    <row r="327" spans="1:3">
      <c r="A327" s="33"/>
      <c r="B327" s="65"/>
      <c r="C327" s="68"/>
    </row>
    <row r="328" spans="1:3">
      <c r="A328" s="33"/>
      <c r="B328" s="64"/>
      <c r="C328" s="67"/>
    </row>
    <row r="329" spans="1:3">
      <c r="A329" s="33"/>
      <c r="B329" s="65"/>
      <c r="C329" s="68"/>
    </row>
    <row r="330" spans="1:3">
      <c r="A330" s="33"/>
      <c r="B330" s="64"/>
      <c r="C330" s="67"/>
    </row>
    <row r="331" spans="1:3">
      <c r="A331" s="33"/>
      <c r="B331" s="65"/>
      <c r="C331" s="68"/>
    </row>
    <row r="332" spans="1:3">
      <c r="A332" s="33"/>
      <c r="B332" s="64"/>
      <c r="C332" s="67"/>
    </row>
    <row r="333" spans="1:3">
      <c r="A333" s="33"/>
      <c r="B333" s="65"/>
      <c r="C333" s="68"/>
    </row>
    <row r="334" spans="1:3">
      <c r="A334" s="33"/>
      <c r="B334" s="64"/>
      <c r="C334" s="67"/>
    </row>
    <row r="335" spans="1:3">
      <c r="A335" s="33"/>
      <c r="B335" s="65"/>
      <c r="C335" s="68"/>
    </row>
    <row r="336" spans="1:3">
      <c r="A336" s="33"/>
      <c r="B336" s="64"/>
      <c r="C336" s="67"/>
    </row>
    <row r="337" spans="1:3">
      <c r="A337" s="33"/>
      <c r="B337" s="65"/>
      <c r="C337" s="68"/>
    </row>
    <row r="338" spans="1:3">
      <c r="A338" s="33"/>
      <c r="B338" s="64"/>
      <c r="C338" s="67"/>
    </row>
    <row r="339" spans="1:3">
      <c r="A339" s="33"/>
      <c r="B339" s="65"/>
      <c r="C339" s="68"/>
    </row>
    <row r="340" spans="1:3">
      <c r="A340" s="33"/>
      <c r="B340" s="64"/>
      <c r="C340" s="67"/>
    </row>
    <row r="341" spans="1:3">
      <c r="A341" s="33"/>
      <c r="B341" s="65"/>
      <c r="C341" s="68"/>
    </row>
    <row r="342" spans="1:3">
      <c r="A342" s="33"/>
      <c r="B342" s="64"/>
      <c r="C342" s="67"/>
    </row>
    <row r="343" spans="1:3">
      <c r="A343" s="33"/>
      <c r="B343" s="65"/>
      <c r="C343" s="68"/>
    </row>
    <row r="344" spans="1:3">
      <c r="A344" s="33"/>
      <c r="B344" s="64"/>
      <c r="C344" s="67"/>
    </row>
    <row r="345" spans="1:3">
      <c r="A345" s="33"/>
      <c r="B345" s="65"/>
      <c r="C345" s="68"/>
    </row>
    <row r="346" spans="1:3">
      <c r="A346" s="33"/>
      <c r="B346" s="64"/>
      <c r="C346" s="67"/>
    </row>
    <row r="347" spans="1:3">
      <c r="A347" s="33"/>
      <c r="B347" s="65"/>
      <c r="C347" s="68"/>
    </row>
    <row r="348" spans="1:3">
      <c r="A348" s="33"/>
      <c r="B348" s="64"/>
      <c r="C348" s="67"/>
    </row>
    <row r="349" spans="1:3">
      <c r="A349" s="33"/>
      <c r="B349" s="65"/>
      <c r="C349" s="68"/>
    </row>
    <row r="350" spans="1:3">
      <c r="A350" s="33"/>
      <c r="B350" s="64"/>
      <c r="C350" s="67"/>
    </row>
    <row r="351" spans="1:3">
      <c r="A351" s="33"/>
      <c r="B351" s="65"/>
      <c r="C351" s="68"/>
    </row>
    <row r="352" spans="1:3">
      <c r="A352" s="33"/>
      <c r="B352" s="64"/>
      <c r="C352" s="67"/>
    </row>
    <row r="353" spans="1:3">
      <c r="A353" s="33"/>
      <c r="B353" s="65"/>
      <c r="C353" s="68"/>
    </row>
    <row r="354" spans="1:3">
      <c r="A354" s="33"/>
      <c r="B354" s="64"/>
      <c r="C354" s="67"/>
    </row>
    <row r="355" spans="1:3">
      <c r="A355" s="33"/>
      <c r="B355" s="65"/>
      <c r="C355" s="68"/>
    </row>
    <row r="356" spans="1:3">
      <c r="A356" s="33"/>
      <c r="B356" s="64"/>
      <c r="C356" s="67"/>
    </row>
    <row r="357" spans="1:3">
      <c r="A357" s="33"/>
      <c r="B357" s="65"/>
      <c r="C357" s="68"/>
    </row>
    <row r="358" spans="1:3">
      <c r="A358" s="33"/>
      <c r="B358" s="64"/>
      <c r="C358" s="67"/>
    </row>
    <row r="359" spans="1:3">
      <c r="A359" s="33"/>
      <c r="B359" s="65"/>
      <c r="C359" s="68"/>
    </row>
    <row r="360" spans="1:3">
      <c r="A360" s="33"/>
      <c r="B360" s="64"/>
      <c r="C360" s="67"/>
    </row>
    <row r="361" spans="1:3">
      <c r="A361" s="33"/>
      <c r="B361" s="65"/>
      <c r="C361" s="68"/>
    </row>
    <row r="362" spans="1:3">
      <c r="A362" s="33"/>
      <c r="B362" s="64"/>
      <c r="C362" s="67"/>
    </row>
    <row r="363" spans="1:3">
      <c r="A363" s="33"/>
      <c r="B363" s="65"/>
      <c r="C363" s="68"/>
    </row>
    <row r="364" spans="1:3">
      <c r="A364" s="33"/>
      <c r="B364" s="64"/>
      <c r="C364" s="67"/>
    </row>
    <row r="365" spans="1:3">
      <c r="A365" s="33"/>
      <c r="B365" s="65"/>
      <c r="C365" s="68"/>
    </row>
    <row r="366" spans="1:3">
      <c r="A366" s="33"/>
      <c r="B366" s="64"/>
      <c r="C366" s="67"/>
    </row>
    <row r="367" spans="1:3">
      <c r="A367" s="33"/>
      <c r="B367" s="65"/>
      <c r="C367" s="68"/>
    </row>
    <row r="368" spans="1:3">
      <c r="A368" s="33"/>
      <c r="B368" s="64"/>
      <c r="C368" s="67"/>
    </row>
    <row r="369" spans="1:3">
      <c r="A369" s="33"/>
      <c r="B369" s="65"/>
      <c r="C369" s="68"/>
    </row>
    <row r="370" spans="1:3">
      <c r="A370" s="33"/>
      <c r="B370" s="64"/>
      <c r="C370" s="67"/>
    </row>
    <row r="371" spans="1:3">
      <c r="A371" s="33"/>
      <c r="B371" s="65"/>
      <c r="C371" s="68"/>
    </row>
    <row r="372" spans="1:3">
      <c r="A372" s="33"/>
      <c r="B372" s="64"/>
      <c r="C372" s="67"/>
    </row>
    <row r="373" spans="1:3">
      <c r="A373" s="33"/>
      <c r="B373" s="65"/>
      <c r="C373" s="68"/>
    </row>
    <row r="374" spans="1:3">
      <c r="A374" s="33"/>
      <c r="B374" s="64"/>
      <c r="C374" s="67"/>
    </row>
    <row r="375" spans="1:3">
      <c r="A375" s="33"/>
      <c r="B375" s="65"/>
      <c r="C375" s="68"/>
    </row>
    <row r="376" spans="1:3">
      <c r="A376" s="33"/>
      <c r="B376" s="64"/>
      <c r="C376" s="67"/>
    </row>
    <row r="377" spans="1:3">
      <c r="A377" s="33"/>
      <c r="B377" s="65"/>
      <c r="C377" s="68"/>
    </row>
    <row r="378" spans="1:3">
      <c r="A378" s="33"/>
      <c r="B378" s="64"/>
      <c r="C378" s="67"/>
    </row>
    <row r="379" spans="1:3">
      <c r="A379" s="33"/>
      <c r="B379" s="65"/>
      <c r="C379" s="68"/>
    </row>
    <row r="380" spans="1:3">
      <c r="A380" s="33"/>
      <c r="B380" s="64"/>
      <c r="C380" s="67"/>
    </row>
    <row r="381" spans="1:3">
      <c r="A381" s="33"/>
      <c r="B381" s="65"/>
      <c r="C381" s="68"/>
    </row>
    <row r="382" spans="1:3">
      <c r="A382" s="33"/>
      <c r="B382" s="64"/>
      <c r="C382" s="67"/>
    </row>
    <row r="383" spans="1:3">
      <c r="A383" s="33"/>
      <c r="B383" s="65"/>
      <c r="C383" s="68"/>
    </row>
    <row r="384" spans="1:3">
      <c r="A384" s="33"/>
      <c r="B384" s="64"/>
      <c r="C384" s="67"/>
    </row>
    <row r="385" spans="1:3">
      <c r="A385" s="33"/>
      <c r="B385" s="65"/>
      <c r="C385" s="68"/>
    </row>
    <row r="386" spans="1:3">
      <c r="A386" s="33"/>
      <c r="B386" s="64"/>
      <c r="C386" s="67"/>
    </row>
    <row r="387" spans="1:3">
      <c r="A387" s="33"/>
      <c r="B387" s="65"/>
      <c r="C387" s="68"/>
    </row>
    <row r="388" spans="1:3">
      <c r="A388" s="33"/>
      <c r="B388" s="64"/>
      <c r="C388" s="67"/>
    </row>
    <row r="389" spans="1:3">
      <c r="A389" s="33"/>
      <c r="B389" s="65"/>
      <c r="C389" s="68"/>
    </row>
    <row r="390" spans="1:3">
      <c r="A390" s="33"/>
      <c r="B390" s="64"/>
      <c r="C390" s="67"/>
    </row>
    <row r="391" spans="1:3">
      <c r="A391" s="33"/>
      <c r="B391" s="65"/>
      <c r="C391" s="68"/>
    </row>
    <row r="392" spans="1:3">
      <c r="A392" s="33"/>
      <c r="B392" s="64"/>
      <c r="C392" s="67"/>
    </row>
    <row r="393" spans="1:3">
      <c r="A393" s="33"/>
      <c r="B393" s="65"/>
      <c r="C393" s="68"/>
    </row>
    <row r="394" spans="1:3">
      <c r="A394" s="33"/>
      <c r="B394" s="64"/>
      <c r="C394" s="67"/>
    </row>
    <row r="395" spans="1:3">
      <c r="A395" s="33"/>
      <c r="B395" s="65"/>
      <c r="C395" s="68"/>
    </row>
    <row r="396" spans="1:3">
      <c r="A396" s="33"/>
      <c r="B396" s="64"/>
      <c r="C396" s="67"/>
    </row>
    <row r="397" spans="1:3">
      <c r="A397" s="33"/>
      <c r="B397" s="65"/>
      <c r="C397" s="68"/>
    </row>
    <row r="398" spans="1:3">
      <c r="A398" s="33"/>
      <c r="B398" s="64"/>
      <c r="C398" s="67"/>
    </row>
    <row r="399" spans="1:3">
      <c r="A399" s="33"/>
      <c r="B399" s="65"/>
      <c r="C399" s="68"/>
    </row>
    <row r="400" spans="1:3">
      <c r="A400" s="33"/>
      <c r="B400" s="64"/>
      <c r="C400" s="67"/>
    </row>
    <row r="401" spans="1:3">
      <c r="A401" s="33"/>
      <c r="B401" s="65"/>
      <c r="C401" s="68"/>
    </row>
    <row r="402" spans="1:3">
      <c r="A402" s="33"/>
      <c r="B402" s="64"/>
      <c r="C402" s="67"/>
    </row>
    <row r="403" spans="1:3">
      <c r="A403" s="33"/>
      <c r="B403" s="65"/>
      <c r="C403" s="68"/>
    </row>
    <row r="404" spans="1:3">
      <c r="A404" s="33"/>
      <c r="B404" s="64"/>
      <c r="C404" s="67"/>
    </row>
    <row r="405" spans="1:3">
      <c r="A405" s="33"/>
      <c r="B405" s="65"/>
      <c r="C405" s="68"/>
    </row>
    <row r="406" spans="1:3">
      <c r="A406" s="33"/>
      <c r="B406" s="64"/>
      <c r="C406" s="67"/>
    </row>
    <row r="407" spans="1:3">
      <c r="A407" s="33"/>
      <c r="B407" s="65"/>
      <c r="C407" s="68"/>
    </row>
    <row r="408" spans="1:3">
      <c r="A408" s="33"/>
      <c r="B408" s="64"/>
      <c r="C408" s="67"/>
    </row>
    <row r="409" spans="1:3">
      <c r="A409" s="33"/>
      <c r="B409" s="65"/>
      <c r="C409" s="68"/>
    </row>
    <row r="410" spans="1:3">
      <c r="A410" s="33"/>
      <c r="B410" s="64"/>
      <c r="C410" s="67"/>
    </row>
    <row r="411" spans="1:3">
      <c r="A411" s="33"/>
      <c r="B411" s="65"/>
      <c r="C411" s="68"/>
    </row>
    <row r="412" spans="1:3">
      <c r="A412" s="33"/>
      <c r="B412" s="64"/>
      <c r="C412" s="67"/>
    </row>
    <row r="413" spans="1:3">
      <c r="A413" s="33"/>
      <c r="B413" s="65"/>
      <c r="C413" s="68"/>
    </row>
    <row r="414" spans="1:3">
      <c r="A414" s="33"/>
      <c r="B414" s="64"/>
      <c r="C414" s="67"/>
    </row>
    <row r="415" spans="1:3">
      <c r="A415" s="33"/>
      <c r="B415" s="65"/>
      <c r="C415" s="68"/>
    </row>
    <row r="416" spans="1:3">
      <c r="A416" s="33"/>
      <c r="B416" s="64"/>
      <c r="C416" s="67"/>
    </row>
    <row r="417" spans="1:3">
      <c r="A417" s="33"/>
      <c r="B417" s="65"/>
      <c r="C417" s="68"/>
    </row>
    <row r="418" spans="1:3">
      <c r="A418" s="33"/>
      <c r="B418" s="64"/>
      <c r="C418" s="67"/>
    </row>
    <row r="419" spans="1:3">
      <c r="A419" s="33"/>
      <c r="B419" s="65"/>
      <c r="C419" s="68"/>
    </row>
    <row r="420" spans="1:3">
      <c r="A420" s="33"/>
      <c r="B420" s="64"/>
      <c r="C420" s="67"/>
    </row>
    <row r="421" spans="1:3">
      <c r="A421" s="33"/>
      <c r="B421" s="65"/>
      <c r="C421" s="68"/>
    </row>
    <row r="422" spans="1:3">
      <c r="A422" s="33"/>
      <c r="B422" s="64"/>
      <c r="C422" s="67"/>
    </row>
    <row r="423" spans="1:3">
      <c r="A423" s="33"/>
      <c r="B423" s="65"/>
      <c r="C423" s="68"/>
    </row>
    <row r="424" spans="1:3">
      <c r="A424" s="33"/>
      <c r="B424" s="64"/>
      <c r="C424" s="67"/>
    </row>
    <row r="425" spans="1:3">
      <c r="A425" s="33"/>
      <c r="B425" s="65"/>
      <c r="C425" s="68"/>
    </row>
    <row r="426" spans="1:3">
      <c r="A426" s="33"/>
      <c r="B426" s="64"/>
      <c r="C426" s="67"/>
    </row>
    <row r="427" spans="1:3">
      <c r="A427" s="33"/>
      <c r="B427" s="65"/>
      <c r="C427" s="68"/>
    </row>
    <row r="428" spans="1:3">
      <c r="A428" s="33"/>
      <c r="B428" s="64"/>
      <c r="C428" s="67"/>
    </row>
    <row r="429" spans="1:3">
      <c r="A429" s="33"/>
      <c r="B429" s="65"/>
      <c r="C429" s="68"/>
    </row>
    <row r="430" spans="1:3">
      <c r="A430" s="33"/>
      <c r="B430" s="64"/>
      <c r="C430" s="67"/>
    </row>
    <row r="431" spans="1:3">
      <c r="A431" s="33"/>
      <c r="B431" s="65"/>
      <c r="C431" s="68"/>
    </row>
    <row r="432" spans="1:3">
      <c r="A432" s="33"/>
      <c r="B432" s="64"/>
      <c r="C432" s="67"/>
    </row>
    <row r="433" spans="1:3">
      <c r="A433" s="33"/>
      <c r="B433" s="65"/>
      <c r="C433" s="68"/>
    </row>
    <row r="434" spans="1:3">
      <c r="A434" s="33"/>
      <c r="B434" s="64"/>
      <c r="C434" s="67"/>
    </row>
    <row r="435" spans="1:3">
      <c r="A435" s="33"/>
      <c r="B435" s="65"/>
      <c r="C435" s="68"/>
    </row>
    <row r="436" spans="1:3">
      <c r="A436" s="33"/>
      <c r="B436" s="64"/>
      <c r="C436" s="67"/>
    </row>
    <row r="437" spans="1:3">
      <c r="A437" s="33"/>
      <c r="B437" s="65"/>
      <c r="C437" s="68"/>
    </row>
    <row r="438" spans="1:3">
      <c r="A438" s="33"/>
      <c r="B438" s="64"/>
      <c r="C438" s="67"/>
    </row>
    <row r="439" spans="1:3">
      <c r="A439" s="33"/>
      <c r="B439" s="65"/>
      <c r="C439" s="68"/>
    </row>
    <row r="440" spans="1:3">
      <c r="A440" s="33"/>
      <c r="B440" s="64"/>
      <c r="C440" s="67"/>
    </row>
    <row r="441" spans="1:3">
      <c r="A441" s="33"/>
      <c r="B441" s="65"/>
      <c r="C441" s="68"/>
    </row>
    <row r="442" spans="1:3">
      <c r="A442" s="33"/>
      <c r="B442" s="64"/>
      <c r="C442" s="67"/>
    </row>
    <row r="443" spans="1:3">
      <c r="A443" s="33"/>
      <c r="B443" s="65"/>
      <c r="C443" s="68"/>
    </row>
    <row r="444" spans="1:3" ht="15" thickBot="1">
      <c r="A444" s="33"/>
      <c r="B444" s="66"/>
      <c r="C444" s="69"/>
    </row>
    <row r="445" spans="1:3">
      <c r="A445" s="33"/>
      <c r="B445" s="2"/>
      <c r="C445" s="47"/>
    </row>
    <row r="446" spans="1:3">
      <c r="A446" s="33"/>
      <c r="B446" s="3"/>
      <c r="C446" s="46"/>
    </row>
    <row r="447" spans="1:3">
      <c r="A447" s="33"/>
      <c r="B447" s="2"/>
      <c r="C447" s="47"/>
    </row>
    <row r="448" spans="1:3">
      <c r="A448" s="33"/>
      <c r="B448" s="3"/>
      <c r="C448" s="46"/>
    </row>
    <row r="449" spans="1:3">
      <c r="A449" s="33"/>
      <c r="B449" s="2"/>
      <c r="C449" s="47"/>
    </row>
    <row r="450" spans="1:3">
      <c r="A450" s="33"/>
      <c r="B450" s="3"/>
      <c r="C450" s="46"/>
    </row>
    <row r="451" spans="1:3">
      <c r="A451" s="33"/>
      <c r="B451" s="2"/>
      <c r="C451" s="47"/>
    </row>
    <row r="452" spans="1:3">
      <c r="A452" s="33"/>
      <c r="B452" s="3"/>
      <c r="C452" s="46"/>
    </row>
    <row r="453" spans="1:3">
      <c r="A453" s="33"/>
      <c r="B453" s="2"/>
      <c r="C453" s="47"/>
    </row>
    <row r="454" spans="1:3">
      <c r="A454" s="33"/>
      <c r="B454" s="3"/>
      <c r="C454" s="46"/>
    </row>
    <row r="455" spans="1:3">
      <c r="A455" s="33"/>
      <c r="B455" s="2"/>
      <c r="C455" s="47"/>
    </row>
    <row r="456" spans="1:3">
      <c r="A456" s="33"/>
      <c r="B456" s="3"/>
      <c r="C456" s="46"/>
    </row>
    <row r="457" spans="1:3">
      <c r="A457" s="33"/>
      <c r="B457" s="2"/>
      <c r="C457" s="47"/>
    </row>
    <row r="458" spans="1:3">
      <c r="A458" s="33"/>
      <c r="B458" s="3"/>
      <c r="C458" s="46"/>
    </row>
    <row r="459" spans="1:3">
      <c r="A459" s="33"/>
      <c r="B459" s="2"/>
      <c r="C459" s="47"/>
    </row>
    <row r="460" spans="1:3">
      <c r="A460" s="33"/>
      <c r="B460" s="3"/>
      <c r="C460" s="46"/>
    </row>
    <row r="461" spans="1:3">
      <c r="A461" s="33"/>
      <c r="B461" s="2"/>
      <c r="C461" s="47"/>
    </row>
    <row r="462" spans="1:3">
      <c r="A462" s="33"/>
      <c r="B462" s="3"/>
      <c r="C462" s="46"/>
    </row>
    <row r="463" spans="1:3">
      <c r="A463" s="33"/>
      <c r="B463" s="2"/>
      <c r="C463" s="47"/>
    </row>
    <row r="464" spans="1:3">
      <c r="A464" s="33"/>
      <c r="B464" s="3"/>
      <c r="C464" s="46"/>
    </row>
    <row r="465" spans="1:3">
      <c r="A465" s="33"/>
      <c r="B465" s="2"/>
      <c r="C465" s="47"/>
    </row>
    <row r="466" spans="1:3">
      <c r="A466" s="33"/>
      <c r="B466" s="3"/>
      <c r="C466" s="46"/>
    </row>
    <row r="467" spans="1:3">
      <c r="A467" s="33"/>
      <c r="B467" s="2"/>
      <c r="C467" s="47"/>
    </row>
    <row r="468" spans="1:3">
      <c r="A468" s="33"/>
      <c r="B468" s="3"/>
      <c r="C468" s="46"/>
    </row>
    <row r="469" spans="1:3">
      <c r="A469" s="33"/>
      <c r="B469" s="2"/>
      <c r="C469" s="47"/>
    </row>
    <row r="470" spans="1:3">
      <c r="A470" s="33"/>
      <c r="B470" s="3"/>
      <c r="C470" s="46"/>
    </row>
    <row r="471" spans="1:3">
      <c r="A471" s="33"/>
      <c r="B471" s="2"/>
      <c r="C471" s="47"/>
    </row>
    <row r="472" spans="1:3">
      <c r="A472" s="33"/>
      <c r="B472" s="3"/>
      <c r="C472" s="46"/>
    </row>
    <row r="473" spans="1:3">
      <c r="A473" s="33"/>
      <c r="B473" s="2"/>
      <c r="C473" s="47"/>
    </row>
    <row r="474" spans="1:3">
      <c r="A474" s="33"/>
      <c r="B474" s="3"/>
      <c r="C474" s="46"/>
    </row>
    <row r="475" spans="1:3">
      <c r="A475" s="33"/>
      <c r="B475" s="2"/>
      <c r="C475" s="47"/>
    </row>
    <row r="476" spans="1:3">
      <c r="A476" s="33"/>
      <c r="B476" s="3"/>
      <c r="C476" s="46"/>
    </row>
    <row r="477" spans="1:3">
      <c r="A477" s="33"/>
      <c r="B477" s="2"/>
      <c r="C477" s="49"/>
    </row>
    <row r="478" spans="1:3">
      <c r="A478" s="33"/>
      <c r="B478" s="3"/>
      <c r="C478" s="48"/>
    </row>
    <row r="479" spans="1:3">
      <c r="A479" s="33"/>
      <c r="B479" s="2"/>
      <c r="C479" s="47"/>
    </row>
    <row r="480" spans="1:3">
      <c r="A480" s="33"/>
      <c r="B480" s="3"/>
      <c r="C480" s="48"/>
    </row>
    <row r="481" spans="1:3">
      <c r="A481" s="33"/>
      <c r="B481" s="2"/>
      <c r="C481" s="47"/>
    </row>
    <row r="482" spans="1:3">
      <c r="A482" s="33"/>
      <c r="B482" s="3"/>
      <c r="C482" s="46"/>
    </row>
    <row r="483" spans="1:3">
      <c r="A483" s="33"/>
      <c r="B483" s="2"/>
      <c r="C483" s="47"/>
    </row>
    <row r="484" spans="1:3">
      <c r="A484" s="33"/>
      <c r="B484" s="3"/>
      <c r="C484" s="48"/>
    </row>
    <row r="485" spans="1:3">
      <c r="A485" s="33"/>
      <c r="B485" s="2"/>
      <c r="C485" s="47"/>
    </row>
    <row r="486" spans="1:3">
      <c r="A486" s="33"/>
      <c r="B486" s="3"/>
      <c r="C486" s="48"/>
    </row>
    <row r="487" spans="1:3">
      <c r="A487" s="33"/>
      <c r="B487" s="2"/>
      <c r="C487" s="49"/>
    </row>
    <row r="488" spans="1:3">
      <c r="A488" s="33"/>
      <c r="B488" s="3"/>
      <c r="C488" s="48"/>
    </row>
    <row r="489" spans="1:3">
      <c r="A489" s="33"/>
      <c r="B489" s="2"/>
      <c r="C489" s="49"/>
    </row>
    <row r="490" spans="1:3">
      <c r="A490" s="33"/>
      <c r="B490" s="3"/>
      <c r="C490" s="46"/>
    </row>
    <row r="491" spans="1:3">
      <c r="A491" s="33"/>
      <c r="B491" s="2"/>
      <c r="C491" s="47"/>
    </row>
    <row r="492" spans="1:3">
      <c r="A492" s="33"/>
      <c r="B492" s="3"/>
      <c r="C492" s="46"/>
    </row>
    <row r="493" spans="1:3">
      <c r="A493" s="33"/>
      <c r="B493" s="2"/>
      <c r="C493" s="47"/>
    </row>
  </sheetData>
  <mergeCells count="1">
    <mergeCell ref="A1:C1"/>
  </mergeCells>
  <hyperlinks>
    <hyperlink ref="C3" r:id="rId1" xr:uid="{AC0A89AB-F5AB-4023-AEFB-4F12BA4A4784}"/>
    <hyperlink ref="C4" r:id="rId2" xr:uid="{FB8BACFD-D86D-47FD-9AF2-39579D121761}"/>
  </hyperlinks>
  <printOptions horizontalCentered="1"/>
  <pageMargins left="0.11811023622047245" right="0.11811023622047245" top="0.15748031496062992" bottom="0.15748031496062992" header="0.11811023622047245" footer="0.19685039370078741"/>
  <pageSetup scale="29" orientation="landscape" r:id="rId3"/>
  <rowBreaks count="1" manualBreakCount="1">
    <brk id="88" max="16383"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1A6D2-4A87-4AC8-8707-70F94CFAC232}">
  <sheetPr codeName="Hoja5">
    <pageSetUpPr fitToPage="1"/>
  </sheetPr>
  <dimension ref="A1:L48"/>
  <sheetViews>
    <sheetView showGridLines="0" view="pageBreakPreview" zoomScale="55" zoomScaleNormal="87" zoomScaleSheetLayoutView="55" workbookViewId="0">
      <selection activeCell="A6" sqref="A6"/>
    </sheetView>
  </sheetViews>
  <sheetFormatPr baseColWidth="10" defaultRowHeight="14.4"/>
  <cols>
    <col min="1" max="2" width="22" style="36" customWidth="1"/>
    <col min="3" max="3" width="255.44140625" customWidth="1"/>
    <col min="4" max="4" width="154.6640625" bestFit="1" customWidth="1"/>
  </cols>
  <sheetData>
    <row r="1" spans="1:12" ht="90" customHeight="1" thickTop="1" thickBot="1">
      <c r="A1" s="44"/>
      <c r="B1" s="116" t="s">
        <v>35</v>
      </c>
      <c r="C1" s="116"/>
      <c r="D1" s="116"/>
      <c r="E1" s="51" t="s">
        <v>31</v>
      </c>
      <c r="F1" s="51"/>
      <c r="G1" s="51"/>
      <c r="H1" s="51"/>
    </row>
    <row r="2" spans="1:12" ht="24.9" customHeight="1" thickTop="1" thickBot="1">
      <c r="A2" s="120" t="s">
        <v>38</v>
      </c>
      <c r="B2" s="121"/>
      <c r="C2" s="122"/>
      <c r="D2" s="77">
        <f ca="1">+NOW()</f>
        <v>45811.863369212966</v>
      </c>
      <c r="E2" s="51"/>
    </row>
    <row r="3" spans="1:12" ht="24.9" customHeight="1" thickTop="1" thickBot="1">
      <c r="A3" s="117" t="s">
        <v>220</v>
      </c>
      <c r="B3" s="118"/>
      <c r="C3" s="118"/>
      <c r="D3" s="119"/>
      <c r="K3" s="41"/>
    </row>
    <row r="4" spans="1:12" ht="22.2" thickTop="1" thickBot="1">
      <c r="A4" s="59" t="s">
        <v>36</v>
      </c>
      <c r="B4" s="58">
        <f>COUNTA('Población contratación'!A3:'Población contratación'!A493)</f>
        <v>109</v>
      </c>
      <c r="C4" s="60"/>
      <c r="D4" s="61"/>
    </row>
    <row r="5" spans="1:12" ht="22.2" thickTop="1" thickBot="1">
      <c r="A5" s="55" t="s">
        <v>37</v>
      </c>
      <c r="B5" s="58">
        <f>COUNTA(A7:A47)</f>
        <v>16</v>
      </c>
      <c r="C5" s="63"/>
      <c r="D5" s="56"/>
    </row>
    <row r="6" spans="1:12" ht="22.2" thickTop="1" thickBot="1">
      <c r="A6" s="45" t="s">
        <v>282</v>
      </c>
      <c r="B6" s="45" t="s">
        <v>0</v>
      </c>
      <c r="C6" s="45" t="s">
        <v>29</v>
      </c>
      <c r="D6" s="45" t="s">
        <v>43</v>
      </c>
      <c r="J6" s="41"/>
      <c r="L6" s="52"/>
    </row>
    <row r="7" spans="1:12" ht="42" thickTop="1" thickBot="1">
      <c r="A7" s="57">
        <v>1</v>
      </c>
      <c r="B7" s="57">
        <v>28</v>
      </c>
      <c r="C7" s="76" t="str">
        <f>+VLOOKUP(B7,'Población contratación'!$A$3:$C$493,2)</f>
        <v>PRESTAR SERVICIOS PROFESIONALES PARA EL DESARROLLO DE OCHENTA (80) HORAS DEL PROCESO DE CAPACITACIÓN EN LAS TEMÁTICAS DE CONTRATACIÓN PÚBLICA DEL NÚCLEO DE ESTADO Y PODER, SEGÚN LA PROGRAMACIÓN DEFINIDA POR LA DIRECCIÓN TERRITORIAL ATLÁNTICO, MAGDALENA, CESAR, LA GUAJIRA</v>
      </c>
      <c r="D7" s="53" t="str">
        <f>+VLOOKUP(B7,'Población contratación'!$A$3:$C$493,3)</f>
        <v>https://community.secop.gov.co/Public/Tendering/OpportunityDetail/Index?noticeUID=CO1.NTC.5966428</v>
      </c>
    </row>
    <row r="8" spans="1:12" ht="62.4" thickTop="1" thickBot="1">
      <c r="A8" s="57">
        <v>2</v>
      </c>
      <c r="B8" s="57">
        <v>40</v>
      </c>
      <c r="C8" s="76" t="str">
        <f>+VLOOKUP(B8,'Población contratación'!$A$3:$C$493,2)</f>
        <v>PRESTAR SERVICIOS PROFESIONALES PARA EL DESARROLLO DE VEINTICUATRO (24) HORAS DEL PROCESO DE CAPACITACIÓN EN LAS TEMATICAS DE REGIMEN DE SEGURIDAD SOCIAL Y AUDITORIA EN EL SECTOR SALUD DEL NUCLEO DE ORGANIZACIONES PUBLICAS Y GESTION, SEGUN LA PROGRAMACION DEFINIDA POR LA DIRECCION TERRITORIAL ATLANTICO, CESAR, MAGDALENA Y LA GUAJIRA</v>
      </c>
      <c r="D8" s="53" t="str">
        <f>+VLOOKUP(B8,'Población contratación'!$A$3:$C$493,3)</f>
        <v>https://community.secop.gov.co/Public/Tendering/OpportunityDetail/Index?noticeUID=CO1.NTC.6865748</v>
      </c>
      <c r="L8" s="41"/>
    </row>
    <row r="9" spans="1:12" ht="42" thickTop="1" thickBot="1">
      <c r="A9" s="57">
        <v>3</v>
      </c>
      <c r="B9" s="57">
        <v>17</v>
      </c>
      <c r="C9" s="76" t="str">
        <f>+VLOOKUP(B9,'Población contratación'!$A$3:$C$493,2)</f>
        <v>PRESTAR SERVICIOS DE APOYO A LA GESTIÓN COMO ENLACE DE VENTANILLA UNICA DE LA TERRITORIAL PARA ATENDER LOS REQUERIMIENTOS DE ENTRADA Y SALIDA DE COMUNICACIONES Y TRAMITES DE LAS MISMAS</v>
      </c>
      <c r="D9" s="53" t="str">
        <f>+VLOOKUP(B9,'Población contratación'!$A$3:$C$493,3)</f>
        <v>https://community.secop.gov.co/Public/Tendering/OpportunityDetail/Index?noticeUID=CO1.NTC.5515685</v>
      </c>
    </row>
    <row r="10" spans="1:12" ht="42" thickTop="1" thickBot="1">
      <c r="A10" s="57">
        <v>4</v>
      </c>
      <c r="B10" s="57">
        <v>22</v>
      </c>
      <c r="C10" s="76" t="str">
        <f>+VLOOKUP(B10,'Población contratación'!$A$3:$C$493,2)</f>
        <v>PRESTAR SERVICIOS DE APOYO COMO AUXILIAR PARA REALIZAR LOS MANTENIMIENTOS LOCATIVOS, PREVENTIVOS Y CORRECTIVOS EN LOS INMUEBLES DE LA ESAP EN LA TERRITORIAL ATLANTICO CON SEDE EN LA CIUDAD DE BARRANQUILLA INCLUIDOS LOS LUGARES DE DESARROLLO DE LA TERRITORIAL</v>
      </c>
      <c r="D10" s="53" t="str">
        <f>+VLOOKUP(B10,'Población contratación'!$A$3:$C$493,3)</f>
        <v>https://community.secop.gov.co/Public/Tendering/OpportunityDetail/Index?noticeUID=CO1.NTC.5690369</v>
      </c>
    </row>
    <row r="11" spans="1:12" ht="42" thickTop="1" thickBot="1">
      <c r="A11" s="57">
        <v>5</v>
      </c>
      <c r="B11" s="57">
        <v>5</v>
      </c>
      <c r="C11" s="76" t="str">
        <f>+VLOOKUP(B11,'Población contratación'!$A$3:$C$493,2)</f>
        <v>PRESTAR LOS SERVICIOS PROFESIONALES EN LA ORGANIZACIÓN, FUNCIONAMIENTO Y PROMOCIÓN DE LA BIBLIOTECA Y CDIM DE LA TERRITORIAL ATLÁNTICO DE LA ESCUELA SUPERIOR DE ADMINISTRACIÓN PÚBLICA</v>
      </c>
      <c r="D11" s="53" t="str">
        <f>+VLOOKUP(B11,'Población contratación'!$A$3:$C$493,3)</f>
        <v>https://community.secop.gov.co/Public/Tendering/OpportunityDetail/Index?noticeUID=CO1.NTC.5818608</v>
      </c>
    </row>
    <row r="12" spans="1:12" ht="62.4" thickTop="1" thickBot="1">
      <c r="A12" s="57">
        <v>6</v>
      </c>
      <c r="B12" s="57">
        <v>10</v>
      </c>
      <c r="C12" s="76" t="str">
        <f>+VLOOKUP(B12,'Población contratación'!$A$3:$C$493,2)</f>
        <v>PRESTAR SERVICIOS PROFESIONALES PARA EL DESARROLLO DE CUARENTA (40) HORAS DEL PROCESO DE CAPACITACIÓN EN LAS TEMÁTICAS DEL SISTEMA DE CONTROL INTERNO Y GESTIÓN DEL CONTROL FISCAL DEL NÚCLEO DE ORGANIZACIONES PÚBLICAS Y GESTIÓN, SEGÚN LA PROGRAMACIÓN DEFINIDA POR LA DIRECCIÓN TERRITORIAL ATLÁNTICO, CESAR, MAGDALENA Y LA GUAJIRA</v>
      </c>
      <c r="D12" s="53" t="str">
        <f>+VLOOKUP(B12,'Población contratación'!$A$3:$C$493,3)</f>
        <v>https://community.secop.gov.co/Public/Tendering/OpportunityDetail/Index?noticeUID=CO1.NTC.6304942</v>
      </c>
    </row>
    <row r="13" spans="1:12" ht="62.4" thickTop="1" thickBot="1">
      <c r="A13" s="57">
        <v>7</v>
      </c>
      <c r="B13" s="57">
        <v>12</v>
      </c>
      <c r="C13" s="76" t="str">
        <f>+VLOOKUP(B13,'Población contratación'!$A$3:$C$493,2)</f>
        <v>PRESTAR SERVICIOS PROFESIONALES PARA EL DESARROLLO DE CUARENTA (40) HORAS DEL PROCESO DE CAPACITACIÓN EN LAS TEMÁTICAS DE CONTRATACIÓN PÚBLICA DEL NÚCLEO DE ESTADO Y PODER Y RÉGIMEN DISCIPLINARIO DEL NÚCLEO DE ORGANIZACIONES PÚBLICAS Y GESTIÓN, SEGÚN LA PROGRAMACIÓN DEFINIDA POR LA DIRECCIÓN TERRITORIAL ATLÁNTICO, MAGDALENA, CESAR, LA GUAJIRA</v>
      </c>
      <c r="D13" s="53" t="str">
        <f>+VLOOKUP(B13,'Población contratación'!$A$3:$C$493,3)</f>
        <v>https://community.secop.gov.co/Public/Tendering/OpportunityDetail/Index?noticeUID=CO1.NTC.6603537</v>
      </c>
    </row>
    <row r="14" spans="1:12" ht="42" thickTop="1" thickBot="1">
      <c r="A14" s="57">
        <v>8</v>
      </c>
      <c r="B14" s="57">
        <v>23</v>
      </c>
      <c r="C14" s="76" t="str">
        <f>+VLOOKUP(B14,'Población contratación'!$A$3:$C$493,2)</f>
        <v>PRESTACION DE SERVICIOS DE ACOMPAÑAMIENTO PROFESIONAL PARA EL DESARROLLO DE LAS ACTIVIDADES ACADEMICO ADMINISTRATIVAS DE LOS PROGRAMAS MISIONALES DE LA ESAP EN LA CIUDAD DE VALLEDUPAR</v>
      </c>
      <c r="D14" s="53" t="str">
        <f>+VLOOKUP(B14,'Población contratación'!$A$3:$C$493,3)</f>
        <v>https://community.secop.gov.co/Public/Tendering/OpportunityDetail/Index?noticeUID=CO1.NTC.6517046</v>
      </c>
    </row>
    <row r="15" spans="1:12" ht="62.4" thickTop="1" thickBot="1">
      <c r="A15" s="57">
        <v>9</v>
      </c>
      <c r="B15" s="57">
        <v>16</v>
      </c>
      <c r="C15" s="76" t="str">
        <f>+VLOOKUP(B15,'Población contratación'!$A$3:$C$493,2)</f>
        <v>PRESTAR SERVICIOS PROFESIONALES PARA LA PLANEACIÓN Y EJECUCIÓN DE LAS ACTIVIDADES RELACIONADAS CON LAS ASESORÍAS, CONSULTORÍAS Y ASISTENCIAS TÉCNICAS, CONCERTADAS CON LAS ENTIDADES TERRITORIALES EN EL MARCO DE LA ESTRATEGIA TÉCNICA TERRITORIAL, DANDO CUMPLIMIENTO A LOS LINEAMIENTOS ESTABLECIDOS POR LA SUBDIRECCIÓN NACIONAL DE PROYECCIÓN INSTITUCIONAL</v>
      </c>
      <c r="D15" s="53" t="str">
        <f>+VLOOKUP(B15,'Población contratación'!$A$3:$C$493,3)</f>
        <v>https://community.secop.gov.co/Public/Tendering/OpportunityDetail/Index?noticeUID=CO1.NTC.5965982</v>
      </c>
    </row>
    <row r="16" spans="1:12" ht="82.8" thickTop="1" thickBot="1">
      <c r="A16" s="57">
        <v>10</v>
      </c>
      <c r="B16" s="57">
        <v>44</v>
      </c>
      <c r="C16" s="76" t="str">
        <f>+VLOOKUP(B16,'Población contratación'!$A$3:$C$493,2)</f>
        <v>PRESTAR SERVICIOS PROFESIONALES PARA EL DESARROLLO DE LAS ACTIVIDADES DEFINIDAS EN LOS DOCUMENTOS TÉCNICOS DE CADA UNA DE LAS LÍNEAS TEMÁTICAS QUE SEAN NECESARIAS PARA EL ACOMPAÑAMIENTO DE LAS ASISTENCIAS TÉCNICAS CONCERTADAS CON LAS ENTIDADES TERRITORIALES, BAJO LAS DIRECTRICES IMPARTIDAS POR EL LÍDER DEPARTAMENTAL, EN EL MARCO DE LOS LINEAMIENTOS ESTABLECIDOS POR LA DIRECCIÓN DE FORTALECIMIENTO Y APOYO A LA GESTIÓN ESTATAL-DFAGE</v>
      </c>
      <c r="D16" s="53" t="str">
        <f>+VLOOKUP(B16,'Población contratación'!$A$3:$C$493,3)</f>
        <v>https://community.secop.gov.co/Public/Tendering/OpportunityDetail/Index?noticeUID=CO1.NTC.5966516</v>
      </c>
    </row>
    <row r="17" spans="1:4" ht="62.4" thickTop="1" thickBot="1">
      <c r="A17" s="57">
        <v>11</v>
      </c>
      <c r="B17" s="57">
        <v>35</v>
      </c>
      <c r="C17" s="76" t="str">
        <f>+VLOOKUP(B17,'Población contratación'!$A$3:$C$493,2)</f>
        <v>PRESTAR SERVICIOS PROFESIONALES PARA EL DESARROLLO DE CUARENTA Y OCHO (48) HORAS DEL PROCESO DE CAPACITACIÓN EN LAS TEMÁTICAS DE POLÍTICAS PÚBLICAS, DERECHO ADMINISTRATIVO, DERECHO CONSTITUCIONAL Y DERECHOS HUMANOS, DE LOS NÚCLEOS DE ESTADO Y PODER Y DE PROBLEMÁTICA PÚBLICA, SEGÚN LA PROGRAMACIÓN DEFINIDA POR LA DIRECCIÓN TERRITORIAL ATLÁNTICO, CESAR, MAGDALENA Y LA GUAJIRA</v>
      </c>
      <c r="D17" s="53" t="str">
        <f>+VLOOKUP(B17,'Población contratación'!$A$3:$C$493,3)</f>
        <v>https://community.secop.gov.co/Public/Tendering/OpportunityDetail/Index?noticeUID=CO1.NTC.6360628</v>
      </c>
    </row>
    <row r="18" spans="1:4" ht="42" thickTop="1" thickBot="1">
      <c r="A18" s="57">
        <v>12</v>
      </c>
      <c r="B18" s="57">
        <v>38</v>
      </c>
      <c r="C18" s="76" t="str">
        <f>+VLOOKUP(B18,'Población contratación'!$A$3:$C$493,2)</f>
        <v>PRESTAR SERVICIOS PROFESIONALES PARA EL DESARROLLO DE LAS ACTIVIDADES DE BIENESTAR UNIVERSITARIO EN LA DIRECCIÓN TERRITORIAL EN ARTICULACIÓN CON LA DIRECCIÓN TÉCNICA DE BIENESTAR UNIVERSITARIO</v>
      </c>
      <c r="D18" s="53" t="str">
        <f>+VLOOKUP(B18,'Población contratación'!$A$3:$C$493,3)</f>
        <v>https://community.secop.gov.co/Public/Tendering/OpportunityDetail/Index?noticeUID=CO1.NTC.5625575</v>
      </c>
    </row>
    <row r="19" spans="1:4" ht="62.4" thickTop="1" thickBot="1">
      <c r="A19" s="57">
        <v>13</v>
      </c>
      <c r="B19" s="57">
        <v>42</v>
      </c>
      <c r="C19" s="76" t="str">
        <f>+VLOOKUP(B19,'Población contratación'!$A$3:$C$493,2)</f>
        <v>PRESTAR SERVICIOS PROFESIONALES PARA EL DESARROLLO DE CUARENTA Y OCHO (48) HORAS DEL PROCESO DE CAPACITACIÓN EN LAS TEMÁTICAS DE FORMULACIÓN DE PROYECTOS DEL NÚCLEO DE GESTIÓN Y DESARROLLO TERRITORIAL Y GESTIÓN AMBIENTAL DEL NÚCLEO DE ORGANIZACIONES PÚBLICAS Y GESTIÓN, SEGÚN LA PROGRAMACIÓN DEFINIDA POR LA DIRECCIÓN TERRITORIAL ATLÁNTICO, MAGDALENA, CESAR, LA GUAJIRA</v>
      </c>
      <c r="D19" s="53" t="str">
        <f>+VLOOKUP(B19,'Población contratación'!$A$3:$C$493,3)</f>
        <v>https://community.secop.gov.co/Public/Tendering/OpportunityDetail/Index?noticeUID=CO1.NTC.5966254</v>
      </c>
    </row>
    <row r="20" spans="1:4" ht="42" thickTop="1" thickBot="1">
      <c r="A20" s="57">
        <v>14</v>
      </c>
      <c r="B20" s="57">
        <v>31</v>
      </c>
      <c r="C20" s="76" t="str">
        <f>+VLOOKUP(B20,'Población contratación'!$A$3:$C$493,2)</f>
        <v>PRESTACIÓN DE SERVICIOS PROFESIONALES PARA EL APOYO DE LAS ACTIVIDADES ACADEMICAS-ADMINISTRATIVAS PROPIAS DE LA COORDINACION ACADÉMICA DE LA TERRITORIAL No. 2</v>
      </c>
      <c r="D20" s="53" t="str">
        <f>+VLOOKUP(B20,'Población contratación'!$A$3:$C$493,3)</f>
        <v>https://community.secop.gov.co/Public/Tendering/OpportunityDetail/Index?noticeUID=CO1.NTC.6694587</v>
      </c>
    </row>
    <row r="21" spans="1:4" ht="42" thickTop="1" thickBot="1">
      <c r="A21" s="57">
        <v>15</v>
      </c>
      <c r="B21" s="57">
        <v>43</v>
      </c>
      <c r="C21" s="76" t="str">
        <f>+VLOOKUP(B21,'Población contratación'!$A$3:$C$493,2)</f>
        <v>PRESTACION DE SERVICIOS PERSONALES DE APOYO A LA GESTION DE CARACTER TEMPORAL PARA ATENDER LA GESTION ADMINISTRATIVA PROPIA DE LA COORDINACION ACADEMICA DE LA TERRITORIAL No 2</v>
      </c>
      <c r="D21" s="53" t="str">
        <f>+VLOOKUP(B21,'Población contratación'!$A$3:$C$493,3)</f>
        <v>https://community.secop.gov.co/Public/Tendering/OpportunityDetail/Index?noticeUID=CO1.NTC.5546469</v>
      </c>
    </row>
    <row r="22" spans="1:4" ht="62.4" thickTop="1" thickBot="1">
      <c r="A22" s="57">
        <v>16</v>
      </c>
      <c r="B22" s="57">
        <v>4</v>
      </c>
      <c r="C22" s="76" t="str">
        <f>+VLOOKUP(B22,'Población contratación'!$A$3:$C$493,2)</f>
        <v>PRESTAR SERVICIOS PROFESIONALES PARA EL DESARROLLO DE CUARENTA Y OCHO (48) HORAS DEL PROCESO DE CAPACITACIÓN EN LAS TEMÁTICAS DE LIDERAZGO TRANSFORMADOR, LIDERAZGO ESTRATÉGICO, RESOLUCIÓN DE CONFLICTOS Y GESTIÓN INTEGRAL DE SERVICIO AL CIUDADANO DEL NÚCLEO DE ORGANIZACIONES PÚBLICAS Y GESTIÓN, SEGÚN LA PROGRAMACIÓN DEFINIDA POR LA DIRECCIÓN TERRITORIAL ATLÁNTICO, CESAR, MAGDALENA Y LA GUAJIRA</v>
      </c>
      <c r="D22" s="53" t="str">
        <f>+VLOOKUP(B22,'Población contratación'!$A$3:$C$493,3)</f>
        <v>https://community.secop.gov.co/Public/Tendering/OpportunityDetail/Index?noticeUID=CO1.NTC.6148982</v>
      </c>
    </row>
    <row r="23" spans="1:4" ht="21.6" thickTop="1" thickBot="1">
      <c r="A23" s="57"/>
      <c r="B23" s="57"/>
      <c r="C23" s="76" t="e">
        <f>+VLOOKUP(B23,'Población contratación'!$A$3:$C$493,2)</f>
        <v>#N/A</v>
      </c>
      <c r="D23" s="53" t="e">
        <f>+VLOOKUP(B23,'Población contratación'!$A$3:$C$493,3)</f>
        <v>#N/A</v>
      </c>
    </row>
    <row r="24" spans="1:4" ht="21.6" thickTop="1" thickBot="1">
      <c r="A24" s="57"/>
      <c r="B24" s="57"/>
      <c r="C24" s="76" t="e">
        <f>+VLOOKUP(B24,'Población contratación'!$A$3:$C$493,2)</f>
        <v>#N/A</v>
      </c>
      <c r="D24" s="53" t="e">
        <f>+VLOOKUP(B24,'Población contratación'!$A$3:$C$493,3)</f>
        <v>#N/A</v>
      </c>
    </row>
    <row r="25" spans="1:4" ht="21.6" thickTop="1" thickBot="1">
      <c r="A25" s="57"/>
      <c r="B25" s="57"/>
      <c r="C25" s="76" t="e">
        <f>+VLOOKUP(B25,'Población contratación'!$A$3:$C$493,2)</f>
        <v>#N/A</v>
      </c>
      <c r="D25" s="53" t="e">
        <f>+VLOOKUP(B25,'Población contratación'!$A$3:$C$493,3)</f>
        <v>#N/A</v>
      </c>
    </row>
    <row r="26" spans="1:4" ht="21.6" thickTop="1" thickBot="1">
      <c r="A26" s="57"/>
      <c r="B26" s="57"/>
      <c r="C26" s="76" t="e">
        <f>+VLOOKUP(B26,'Población contratación'!$A$3:$C$493,2)</f>
        <v>#N/A</v>
      </c>
      <c r="D26" s="53" t="e">
        <f>+VLOOKUP(B26,'Población contratación'!$A$3:$C$493,3)</f>
        <v>#N/A</v>
      </c>
    </row>
    <row r="27" spans="1:4" ht="30" customHeight="1" thickTop="1" thickBot="1">
      <c r="A27" s="57"/>
      <c r="B27" s="57"/>
      <c r="C27" s="53" t="e">
        <f>+VLOOKUP(B27,'Población contratación'!$A$3:$C$493,2)</f>
        <v>#N/A</v>
      </c>
      <c r="D27" s="53" t="e">
        <f>+VLOOKUP(B27,'Población contratación'!$A$3:$C$493,3)</f>
        <v>#N/A</v>
      </c>
    </row>
    <row r="28" spans="1:4" ht="30" customHeight="1" thickTop="1" thickBot="1">
      <c r="A28" s="57"/>
      <c r="B28" s="57"/>
      <c r="C28" s="53" t="e">
        <f>+VLOOKUP(B28,'Población contratación'!$A$3:$C$493,2)</f>
        <v>#N/A</v>
      </c>
      <c r="D28" s="53" t="e">
        <f>+VLOOKUP(B28,'Población contratación'!$A$3:$C$493,3)</f>
        <v>#N/A</v>
      </c>
    </row>
    <row r="29" spans="1:4" ht="30" customHeight="1" thickTop="1" thickBot="1">
      <c r="A29" s="57"/>
      <c r="B29" s="57"/>
      <c r="C29" s="53" t="e">
        <f>+VLOOKUP(B29,'Población contratación'!$A$3:$C$493,2)</f>
        <v>#N/A</v>
      </c>
      <c r="D29" s="53" t="e">
        <f>+VLOOKUP(B29,'Población contratación'!$A$3:$C$493,3)</f>
        <v>#N/A</v>
      </c>
    </row>
    <row r="30" spans="1:4" ht="30" customHeight="1" thickTop="1" thickBot="1">
      <c r="A30" s="57"/>
      <c r="B30" s="57"/>
      <c r="C30" s="53" t="e">
        <f>+VLOOKUP(B30,'Población contratación'!$A$3:$C$493,2)</f>
        <v>#N/A</v>
      </c>
      <c r="D30" s="53" t="e">
        <f>+VLOOKUP(B30,'Población contratación'!$A$3:$C$493,3)</f>
        <v>#N/A</v>
      </c>
    </row>
    <row r="31" spans="1:4" ht="30" customHeight="1" thickTop="1" thickBot="1">
      <c r="A31" s="57"/>
      <c r="B31" s="57"/>
      <c r="C31" s="53" t="e">
        <f>+VLOOKUP(B31,'Población contratación'!$A$3:$C$493,2)</f>
        <v>#N/A</v>
      </c>
      <c r="D31" s="53" t="e">
        <f>+VLOOKUP(B31,'Población contratación'!$A$3:$C$493,3)</f>
        <v>#N/A</v>
      </c>
    </row>
    <row r="32" spans="1:4" ht="30" customHeight="1" thickTop="1" thickBot="1">
      <c r="A32" s="57"/>
      <c r="B32" s="57"/>
      <c r="C32" s="53" t="e">
        <f>+VLOOKUP(B32,'Población contratación'!$A$3:$C$493,2)</f>
        <v>#N/A</v>
      </c>
      <c r="D32" s="53" t="e">
        <f>+VLOOKUP(B32,'Población contratación'!$A$3:$C$493,3)</f>
        <v>#N/A</v>
      </c>
    </row>
    <row r="33" spans="1:4" ht="30" customHeight="1" thickTop="1" thickBot="1">
      <c r="A33" s="57"/>
      <c r="B33" s="57"/>
      <c r="C33" s="53" t="e">
        <f>+VLOOKUP(B33,'Población contratación'!$A$3:$C$493,2)</f>
        <v>#N/A</v>
      </c>
      <c r="D33" s="53" t="e">
        <f>+VLOOKUP(B33,'Población contratación'!$A$3:$C$493,3)</f>
        <v>#N/A</v>
      </c>
    </row>
    <row r="34" spans="1:4" ht="30" customHeight="1" thickTop="1" thickBot="1">
      <c r="A34" s="57"/>
      <c r="B34" s="57"/>
      <c r="C34" s="53" t="e">
        <f>+VLOOKUP(B34,'Población contratación'!$A$3:$C$493,2)</f>
        <v>#N/A</v>
      </c>
      <c r="D34" s="53" t="e">
        <f>+VLOOKUP(B34,'Población contratación'!$A$3:$C$493,3)</f>
        <v>#N/A</v>
      </c>
    </row>
    <row r="35" spans="1:4" ht="30" customHeight="1" thickTop="1" thickBot="1">
      <c r="A35" s="57"/>
      <c r="B35" s="57"/>
      <c r="C35" s="53" t="e">
        <f>+VLOOKUP(B35,'Población contratación'!$A$3:$C$493,2)</f>
        <v>#N/A</v>
      </c>
      <c r="D35" s="53" t="e">
        <f>+VLOOKUP(B35,'Población contratación'!$A$3:$C$493,3)</f>
        <v>#N/A</v>
      </c>
    </row>
    <row r="36" spans="1:4" ht="30" customHeight="1" thickTop="1" thickBot="1">
      <c r="A36" s="57"/>
      <c r="B36" s="57"/>
      <c r="C36" s="53" t="e">
        <f>+VLOOKUP(B36,'Población contratación'!$A$3:$C$493,2)</f>
        <v>#N/A</v>
      </c>
      <c r="D36" s="53" t="e">
        <f>+VLOOKUP(B36,'Población contratación'!$A$3:$C$493,3)</f>
        <v>#N/A</v>
      </c>
    </row>
    <row r="37" spans="1:4" ht="30" customHeight="1" thickTop="1" thickBot="1">
      <c r="A37" s="57"/>
      <c r="B37" s="57"/>
      <c r="C37" s="53" t="e">
        <f>+VLOOKUP(B37,'Población contratación'!$A$3:$C$493,2)</f>
        <v>#N/A</v>
      </c>
      <c r="D37" s="53" t="e">
        <f>+VLOOKUP(B37,'Población contratación'!$A$3:$C$493,3)</f>
        <v>#N/A</v>
      </c>
    </row>
    <row r="38" spans="1:4" ht="30" customHeight="1" thickTop="1" thickBot="1">
      <c r="A38" s="57"/>
      <c r="B38" s="57"/>
      <c r="C38" s="53" t="e">
        <f>+VLOOKUP(B38,'Población contratación'!$A$3:$C$493,2)</f>
        <v>#N/A</v>
      </c>
      <c r="D38" s="53" t="e">
        <f>+VLOOKUP(B38,'Población contratación'!$A$3:$C$493,3)</f>
        <v>#N/A</v>
      </c>
    </row>
    <row r="39" spans="1:4" ht="30" customHeight="1" thickTop="1" thickBot="1">
      <c r="A39" s="57"/>
      <c r="B39" s="57"/>
      <c r="C39" s="53" t="e">
        <f>+VLOOKUP(B39,'Población contratación'!$A$3:$C$493,2)</f>
        <v>#N/A</v>
      </c>
      <c r="D39" s="53" t="e">
        <f>+VLOOKUP(B39,'Población contratación'!$A$3:$C$493,3)</f>
        <v>#N/A</v>
      </c>
    </row>
    <row r="40" spans="1:4" ht="30" customHeight="1" thickTop="1" thickBot="1">
      <c r="A40" s="57"/>
      <c r="B40" s="57"/>
      <c r="C40" s="53" t="e">
        <f>+VLOOKUP(B40,'Población contratación'!$A$3:$C$493,2)</f>
        <v>#N/A</v>
      </c>
      <c r="D40" s="53" t="e">
        <f>+VLOOKUP(B40,'Población contratación'!$A$3:$C$493,3)</f>
        <v>#N/A</v>
      </c>
    </row>
    <row r="41" spans="1:4" ht="30" customHeight="1" thickTop="1" thickBot="1">
      <c r="A41" s="57"/>
      <c r="B41" s="57"/>
      <c r="C41" s="53" t="e">
        <f>+VLOOKUP(B41,'Población contratación'!$A$3:$C$493,2)</f>
        <v>#N/A</v>
      </c>
      <c r="D41" s="53" t="e">
        <f>+VLOOKUP(B41,'Población contratación'!$A$3:$C$493,3)</f>
        <v>#N/A</v>
      </c>
    </row>
    <row r="42" spans="1:4" ht="30" customHeight="1" thickTop="1" thickBot="1">
      <c r="A42" s="57"/>
      <c r="B42" s="57"/>
      <c r="C42" s="53" t="e">
        <f>+VLOOKUP(B42,'Población contratación'!$A$3:$C$493,2)</f>
        <v>#N/A</v>
      </c>
      <c r="D42" s="53" t="e">
        <f>+VLOOKUP(B42,'Población contratación'!$A$3:$C$493,3)</f>
        <v>#N/A</v>
      </c>
    </row>
    <row r="43" spans="1:4" ht="30" customHeight="1" thickTop="1" thickBot="1">
      <c r="A43" s="57"/>
      <c r="B43" s="57"/>
      <c r="C43" s="53" t="e">
        <f>+VLOOKUP(B43,'Población contratación'!$A$3:$C$493,2)</f>
        <v>#N/A</v>
      </c>
      <c r="D43" s="53" t="e">
        <f>+VLOOKUP(B43,'Población contratación'!$A$3:$C$493,3)</f>
        <v>#N/A</v>
      </c>
    </row>
    <row r="44" spans="1:4" ht="30" customHeight="1" thickTop="1" thickBot="1">
      <c r="A44" s="57"/>
      <c r="B44" s="57"/>
      <c r="C44" s="53" t="e">
        <f>+VLOOKUP(B44,'Población contratación'!$A$3:$C$493,2)</f>
        <v>#N/A</v>
      </c>
      <c r="D44" s="53" t="e">
        <f>+VLOOKUP(B44,'Población contratación'!$A$3:$C$493,3)</f>
        <v>#N/A</v>
      </c>
    </row>
    <row r="45" spans="1:4" ht="30" customHeight="1" thickTop="1" thickBot="1">
      <c r="A45" s="57"/>
      <c r="B45" s="57"/>
      <c r="C45" s="53" t="e">
        <f>+VLOOKUP(B45,'Población contratación'!$A$3:$C$493,2)</f>
        <v>#N/A</v>
      </c>
      <c r="D45" s="53" t="e">
        <f>+VLOOKUP(B45,'Población contratación'!$A$3:$C$493,3)</f>
        <v>#N/A</v>
      </c>
    </row>
    <row r="46" spans="1:4" ht="30" customHeight="1" thickTop="1" thickBot="1">
      <c r="A46" s="57"/>
      <c r="B46" s="57"/>
      <c r="C46" s="53" t="e">
        <f>+VLOOKUP(B46,'Población contratación'!$A$3:$C$493,2)</f>
        <v>#N/A</v>
      </c>
      <c r="D46" s="53" t="e">
        <f>+VLOOKUP(B46,'Población contratación'!$A$3:$C$493,3)</f>
        <v>#N/A</v>
      </c>
    </row>
    <row r="47" spans="1:4" ht="30" customHeight="1" thickTop="1" thickBot="1">
      <c r="A47" s="57"/>
      <c r="B47" s="57"/>
      <c r="C47" s="53" t="e">
        <f>+VLOOKUP(B47,'Población contratación'!$A$3:$C$493,2)</f>
        <v>#N/A</v>
      </c>
      <c r="D47" s="53" t="e">
        <f>+VLOOKUP(B47,'Población contratación'!$A$3:$C$493,3)</f>
        <v>#N/A</v>
      </c>
    </row>
    <row r="48" spans="1:4" ht="15" thickTop="1"/>
  </sheetData>
  <mergeCells count="3">
    <mergeCell ref="B1:D1"/>
    <mergeCell ref="A2:C2"/>
    <mergeCell ref="A3:D3"/>
  </mergeCells>
  <conditionalFormatting sqref="D7:D47">
    <cfRule type="duplicateValues" dxfId="7" priority="2"/>
    <cfRule type="duplicateValues" dxfId="6" priority="4"/>
  </conditionalFormatting>
  <conditionalFormatting sqref="B7:B47">
    <cfRule type="duplicateValues" dxfId="5" priority="3"/>
  </conditionalFormatting>
  <conditionalFormatting sqref="B7:B47">
    <cfRule type="duplicateValues" dxfId="4" priority="1"/>
  </conditionalFormatting>
  <pageMargins left="0.11811023622047245" right="0.11811023622047245" top="0.15748031496062992" bottom="0.15748031496062992" header="0.11811023622047245" footer="0.19685039370078741"/>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LEATORIO">
                <anchor moveWithCells="1" sizeWithCells="1">
                  <from>
                    <xdr:col>5</xdr:col>
                    <xdr:colOff>175260</xdr:colOff>
                    <xdr:row>5</xdr:row>
                    <xdr:rowOff>373380</xdr:rowOff>
                  </from>
                  <to>
                    <xdr:col>9</xdr:col>
                    <xdr:colOff>502920</xdr:colOff>
                    <xdr:row>9</xdr:row>
                    <xdr:rowOff>30480</xdr:rowOff>
                  </to>
                </anchor>
              </controlPr>
            </control>
          </mc:Choice>
        </mc:AlternateContent>
        <mc:AlternateContent xmlns:mc="http://schemas.openxmlformats.org/markup-compatibility/2006">
          <mc:Choice Requires="x14">
            <control shapeId="5122" r:id="rId5" name="Button 2">
              <controlPr defaultSize="0" print="0" autoFill="0" autoPict="0" macro="[0]!Exportar">
                <anchor moveWithCells="1" sizeWithCells="1">
                  <from>
                    <xdr:col>5</xdr:col>
                    <xdr:colOff>274320</xdr:colOff>
                    <xdr:row>10</xdr:row>
                    <xdr:rowOff>144780</xdr:rowOff>
                  </from>
                  <to>
                    <xdr:col>9</xdr:col>
                    <xdr:colOff>464820</xdr:colOff>
                    <xdr:row>12</xdr:row>
                    <xdr:rowOff>365760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989F5-5650-4E4B-A547-54FC948DD479}">
  <sheetPr codeName="Hoja6">
    <pageSetUpPr fitToPage="1"/>
  </sheetPr>
  <dimension ref="A1:L48"/>
  <sheetViews>
    <sheetView showGridLines="0" view="pageBreakPreview" zoomScale="55" zoomScaleNormal="87" zoomScaleSheetLayoutView="55" workbookViewId="0">
      <selection activeCell="A6" sqref="A6"/>
    </sheetView>
  </sheetViews>
  <sheetFormatPr baseColWidth="10" defaultRowHeight="14.4"/>
  <cols>
    <col min="1" max="2" width="22" style="36" customWidth="1"/>
    <col min="3" max="3" width="255.44140625" customWidth="1"/>
    <col min="4" max="4" width="154.6640625" bestFit="1" customWidth="1"/>
  </cols>
  <sheetData>
    <row r="1" spans="1:12" ht="90" customHeight="1" thickTop="1" thickBot="1">
      <c r="A1" s="44"/>
      <c r="B1" s="116" t="s">
        <v>35</v>
      </c>
      <c r="C1" s="116"/>
      <c r="D1" s="116"/>
      <c r="E1" s="51" t="s">
        <v>31</v>
      </c>
      <c r="F1" s="51"/>
      <c r="G1" s="51"/>
      <c r="H1" s="51"/>
    </row>
    <row r="2" spans="1:12" ht="24.9" customHeight="1" thickTop="1" thickBot="1">
      <c r="A2" s="120" t="s">
        <v>38</v>
      </c>
      <c r="B2" s="121"/>
      <c r="C2" s="122"/>
      <c r="D2" s="77">
        <f ca="1">+NOW()</f>
        <v>45811.863369212966</v>
      </c>
      <c r="E2" s="51"/>
    </row>
    <row r="3" spans="1:12" ht="24.9" customHeight="1" thickTop="1" thickBot="1">
      <c r="A3" s="117" t="s">
        <v>220</v>
      </c>
      <c r="B3" s="118"/>
      <c r="C3" s="118"/>
      <c r="D3" s="119"/>
      <c r="K3" s="41"/>
    </row>
    <row r="4" spans="1:12" ht="22.2" thickTop="1" thickBot="1">
      <c r="A4" s="59" t="s">
        <v>36</v>
      </c>
      <c r="B4" s="58">
        <f>COUNTA('Población contratación'!A3:'Población contratación'!A493)</f>
        <v>109</v>
      </c>
      <c r="C4" s="60"/>
      <c r="D4" s="61"/>
    </row>
    <row r="5" spans="1:12" ht="22.2" thickTop="1" thickBot="1">
      <c r="A5" s="55" t="s">
        <v>37</v>
      </c>
      <c r="B5" s="58">
        <f>COUNTA(A7:A47)</f>
        <v>16</v>
      </c>
      <c r="C5" s="63"/>
      <c r="D5" s="56"/>
    </row>
    <row r="6" spans="1:12" ht="22.2" thickTop="1" thickBot="1">
      <c r="A6" s="45" t="s">
        <v>282</v>
      </c>
      <c r="B6" s="45" t="s">
        <v>0</v>
      </c>
      <c r="C6" s="45" t="s">
        <v>29</v>
      </c>
      <c r="D6" s="45" t="s">
        <v>43</v>
      </c>
      <c r="J6" s="41"/>
      <c r="L6" s="52"/>
    </row>
    <row r="7" spans="1:12" ht="42" thickTop="1" thickBot="1">
      <c r="A7" s="57">
        <v>1</v>
      </c>
      <c r="B7" s="57">
        <v>5</v>
      </c>
      <c r="C7" s="76" t="str">
        <f>+VLOOKUP(B7,'Población contratación'!$A$3:$C$493,2)</f>
        <v>PRESTAR LOS SERVICIOS PROFESIONALES EN LA ORGANIZACIÓN, FUNCIONAMIENTO Y PROMOCIÓN DE LA BIBLIOTECA Y CDIM DE LA TERRITORIAL ATLÁNTICO DE LA ESCUELA SUPERIOR DE ADMINISTRACIÓN PÚBLICA</v>
      </c>
      <c r="D7" s="53" t="str">
        <f>+VLOOKUP(B7,'Población contratación'!$A$3:$C$493,3)</f>
        <v>https://community.secop.gov.co/Public/Tendering/OpportunityDetail/Index?noticeUID=CO1.NTC.5818608</v>
      </c>
    </row>
    <row r="8" spans="1:12" ht="82.8" thickTop="1" thickBot="1">
      <c r="A8" s="57">
        <v>2</v>
      </c>
      <c r="B8" s="57">
        <v>24</v>
      </c>
      <c r="C8" s="76" t="str">
        <f>+VLOOKUP(B8,'Población contratación'!$A$3:$C$493,2)</f>
        <v>PRESTAR SERVICIOS PROFESIONALES PARA EL DESARROLLO DE LAS ACTIVIDADES DEFINIDAS EN LOS DOCUMENTOS TÉCNICOS DE CADA UNA DE LAS LÍNEAS TEMÁTICAS QUE SEAN NECESARIAS PARA EL ACOMPAÑAMIENTO DE LAS ASISTENCIAS TÉCNICAS CONCERTADAS CON LAS ENTIDADES TERRITORIALES, BAJO LAS DIRECTRICES IMPARTIDAS POR EL LÍDER DEPARTAMENTAL, EN EL MARCO DE LOS LINEAMIENTOS ESTABLECIDOS POR LA DIRECCIÓN DE FORTALECIMIENTO Y APOYO A LA GESTIÓN ESTATAL-DFAGE</v>
      </c>
      <c r="D8" s="53" t="str">
        <f>+VLOOKUP(B8,'Población contratación'!$A$3:$C$493,3)</f>
        <v>https://community.secop.gov.co/Public/Tendering/OpportunityDetail/Index?noticeUID=CO1.NTC.5966416</v>
      </c>
      <c r="L8" s="41"/>
    </row>
    <row r="9" spans="1:12" ht="62.4" thickTop="1" thickBot="1">
      <c r="A9" s="57">
        <v>3</v>
      </c>
      <c r="B9" s="57">
        <v>8</v>
      </c>
      <c r="C9" s="76" t="str">
        <f>+VLOOKUP(B9,'Población contratación'!$A$3:$C$493,2)</f>
        <v>PRESTAR SERVICIOS PROFESIONALES PARA LA PLANEACIÓN Y EJECUCIÓN DE LAS ACTIVIDADES RELACIONADAS CON LAS ASESORÍAS, CONSULTORÍAS Y ASISTENCIAS TÉCNICAS, CONCERTADAS CON LAS ENTIDADES TERRITORIALES EN EL MARCO DE LA ESTRATEGIA TÉCNICA TERRITORIAL, DANDO CUMPLIMIENTO A LOS LINEAMIENTOS ESTABLECIDOS POR LA SUBDIRECCIÓN NACIONAL DE PROYECCIÓN INSTITUCIONAL</v>
      </c>
      <c r="D9" s="53" t="str">
        <f>+VLOOKUP(B9,'Población contratación'!$A$3:$C$493,3)</f>
        <v>https://community.secop.gov.co/Public/Tendering/OpportunityDetail/Index?noticeUID=CO1.NTC.5949128</v>
      </c>
    </row>
    <row r="10" spans="1:12" ht="42" thickTop="1" thickBot="1">
      <c r="A10" s="57">
        <v>4</v>
      </c>
      <c r="B10" s="57">
        <v>28</v>
      </c>
      <c r="C10" s="76" t="str">
        <f>+VLOOKUP(B10,'Población contratación'!$A$3:$C$493,2)</f>
        <v>PRESTAR SERVICIOS PROFESIONALES PARA EL DESARROLLO DE OCHENTA (80) HORAS DEL PROCESO DE CAPACITACIÓN EN LAS TEMÁTICAS DE CONTRATACIÓN PÚBLICA DEL NÚCLEO DE ESTADO Y PODER, SEGÚN LA PROGRAMACIÓN DEFINIDA POR LA DIRECCIÓN TERRITORIAL ATLÁNTICO, MAGDALENA, CESAR, LA GUAJIRA</v>
      </c>
      <c r="D10" s="53" t="str">
        <f>+VLOOKUP(B10,'Población contratación'!$A$3:$C$493,3)</f>
        <v>https://community.secop.gov.co/Public/Tendering/OpportunityDetail/Index?noticeUID=CO1.NTC.5966428</v>
      </c>
    </row>
    <row r="11" spans="1:12" ht="62.4" thickTop="1" thickBot="1">
      <c r="A11" s="57">
        <v>5</v>
      </c>
      <c r="B11" s="57">
        <v>26</v>
      </c>
      <c r="C11" s="76" t="str">
        <f>+VLOOKUP(B11,'Población contratación'!$A$3:$C$493,2)</f>
        <v>PRESTAR SERVICIOS PROFESIONALES PARA LA PLANEACIÓN Y EJECUCIÓN DE LAS ACTIVIDADES RELACIONADAS CON LAS ASESORÍAS, CONSULTORÍAS Y ASISTENCIAS TÉCNICAS, CONCERTADAS CON LAS ENTIDADES TERRITORIALES EN EL MARCO DE LA ESTRATEGIA TÉCNICA TERRITORIAL, DANDO CUMPLIMIENTO A LOS LINEAMIENTOS ESTABLECIDOS POR LA SUBDIRECCIÓN NACIONAL DE PROYECCIÓN INSTITUCIONAL</v>
      </c>
      <c r="D11" s="53" t="str">
        <f>+VLOOKUP(B11,'Población contratación'!$A$3:$C$493,3)</f>
        <v>https://community.secop.gov.co/Public/Tendering/OpportunityDetail/Index?noticeUID=CO1.NTC.5948980</v>
      </c>
    </row>
    <row r="12" spans="1:12" ht="62.4" thickTop="1" thickBot="1">
      <c r="A12" s="57">
        <v>6</v>
      </c>
      <c r="B12" s="57">
        <v>10</v>
      </c>
      <c r="C12" s="76" t="str">
        <f>+VLOOKUP(B12,'Población contratación'!$A$3:$C$493,2)</f>
        <v>PRESTAR SERVICIOS PROFESIONALES PARA EL DESARROLLO DE CUARENTA (40) HORAS DEL PROCESO DE CAPACITACIÓN EN LAS TEMÁTICAS DEL SISTEMA DE CONTROL INTERNO Y GESTIÓN DEL CONTROL FISCAL DEL NÚCLEO DE ORGANIZACIONES PÚBLICAS Y GESTIÓN, SEGÚN LA PROGRAMACIÓN DEFINIDA POR LA DIRECCIÓN TERRITORIAL ATLÁNTICO, CESAR, MAGDALENA Y LA GUAJIRA</v>
      </c>
      <c r="D12" s="53" t="str">
        <f>+VLOOKUP(B12,'Población contratación'!$A$3:$C$493,3)</f>
        <v>https://community.secop.gov.co/Public/Tendering/OpportunityDetail/Index?noticeUID=CO1.NTC.6304942</v>
      </c>
    </row>
    <row r="13" spans="1:12" ht="42" thickTop="1" thickBot="1">
      <c r="A13" s="57">
        <v>7</v>
      </c>
      <c r="B13" s="57">
        <v>32</v>
      </c>
      <c r="C13" s="76" t="str">
        <f>+VLOOKUP(B13,'Población contratación'!$A$3:$C$493,2)</f>
        <v>PRESTACION DE SERVICIOS DE ACOMPAÑAMIENTO PROFESIONAL PARA EL DESARROLLO DE LAS ACTIVIDADES ACADEMICO ADMINISTRATIVAS DE LOS PROGRAMAS MISIONALES DE LA ESAP EN LA CIUDAD DE SANTA MARTA</v>
      </c>
      <c r="D13" s="53" t="str">
        <f>+VLOOKUP(B13,'Población contratación'!$A$3:$C$493,3)</f>
        <v>https://community.secop.gov.co/Public/Tendering/OpportunityDetail/Index?noticeUID=CO1.NTC.5523672</v>
      </c>
    </row>
    <row r="14" spans="1:12" ht="82.8" thickTop="1" thickBot="1">
      <c r="A14" s="57">
        <v>8</v>
      </c>
      <c r="B14" s="57">
        <v>44</v>
      </c>
      <c r="C14" s="76" t="str">
        <f>+VLOOKUP(B14,'Población contratación'!$A$3:$C$493,2)</f>
        <v>PRESTAR SERVICIOS PROFESIONALES PARA EL DESARROLLO DE LAS ACTIVIDADES DEFINIDAS EN LOS DOCUMENTOS TÉCNICOS DE CADA UNA DE LAS LÍNEAS TEMÁTICAS QUE SEAN NECESARIAS PARA EL ACOMPAÑAMIENTO DE LAS ASISTENCIAS TÉCNICAS CONCERTADAS CON LAS ENTIDADES TERRITORIALES, BAJO LAS DIRECTRICES IMPARTIDAS POR EL LÍDER DEPARTAMENTAL, EN EL MARCO DE LOS LINEAMIENTOS ESTABLECIDOS POR LA DIRECCIÓN DE FORTALECIMIENTO Y APOYO A LA GESTIÓN ESTATAL-DFAGE</v>
      </c>
      <c r="D14" s="53" t="str">
        <f>+VLOOKUP(B14,'Población contratación'!$A$3:$C$493,3)</f>
        <v>https://community.secop.gov.co/Public/Tendering/OpportunityDetail/Index?noticeUID=CO1.NTC.5966516</v>
      </c>
    </row>
    <row r="15" spans="1:12" ht="42" thickTop="1" thickBot="1">
      <c r="A15" s="57">
        <v>9</v>
      </c>
      <c r="B15" s="57">
        <v>27</v>
      </c>
      <c r="C15" s="76" t="str">
        <f>+VLOOKUP(B15,'Población contratación'!$A$3:$C$493,2)</f>
        <v>PRESTACION DE SERVICIOS DE APOYO A LAS ACTIVIDADES ACADEMICO ADMINISTRATIVAS DE LOS PROGRAMAS MISIONALES DE LA ESAP EN EL MUNICIPO DE SUAN ATLANTICO</v>
      </c>
      <c r="D15" s="53" t="str">
        <f>+VLOOKUP(B15,'Población contratación'!$A$3:$C$493,3)</f>
        <v>https://community.secop.gov.co/Public/Tendering/OpportunityDetail/Index?noticeUID=CO1.NTC.6514593</v>
      </c>
    </row>
    <row r="16" spans="1:12" ht="42" thickTop="1" thickBot="1">
      <c r="A16" s="57">
        <v>10</v>
      </c>
      <c r="B16" s="57">
        <v>11</v>
      </c>
      <c r="C16" s="76" t="str">
        <f>+VLOOKUP(B16,'Población contratación'!$A$3:$C$493,2)</f>
        <v>PRESTACIÓN DE SERVICIOS PARA REALIZAR LAS ACTIVIDADES AL PLAN DE BIENESTAR SOCIAL E INCENTIVOS PARA LOS SERVIDORES PÚBLICOS DE LA TERRITORIAL NO. 2 DE LA ESCUELA SUPERIOR DE ADMINISTRACIÓN PÚBLICA - VIGENCIA 2024</v>
      </c>
      <c r="D16" s="53" t="str">
        <f>+VLOOKUP(B16,'Población contratación'!$A$3:$C$493,3)</f>
        <v>https://community.secop.gov.co/Public/Tendering/OpportunityDetail/Index?noticeUID=CO1.NTC.6930077</v>
      </c>
    </row>
    <row r="17" spans="1:4" ht="82.8" thickTop="1" thickBot="1">
      <c r="A17" s="57">
        <v>11</v>
      </c>
      <c r="B17" s="57">
        <v>15</v>
      </c>
      <c r="C17" s="76" t="str">
        <f>+VLOOKUP(B17,'Población contratación'!$A$3:$C$493,2)</f>
        <v>PRESTAR SERVICIOS PROFESIONALES PARA EL DESARROLLO DE LAS ACTIVIDADES DEFINIDAS EN LOS DOCUMENTOS TÉCNICOS DE CADA UNA DE LAS LÍNEAS TEMÁTICAS QUE SEAN NECESARIAS PARA EL ACOMPAÑAMIENTO DE LAS ASISTENCIAS TÉCNICAS CONCERTADAS CON LAS ENTIDADES TERRITORIALES, BAJO LAS DIRECTRICES IMPARTIDAS POR EL LÍDER DEPARTAMENTAL, EN EL MARCO DE LOS LINEAMIENTOS ESTABLECIDOS POR LA DIRECCIÓN DE FORTALECIMIENTO Y APOYO A LA GESTIÓN ESTATAL-DFAGE</v>
      </c>
      <c r="D17" s="53" t="str">
        <f>+VLOOKUP(B17,'Población contratación'!$A$3:$C$493,3)</f>
        <v>https://community.secop.gov.co/Public/Tendering/OpportunityDetail/Index?noticeUID=CO1.NTC.5966524</v>
      </c>
    </row>
    <row r="18" spans="1:4" ht="42" thickTop="1" thickBot="1">
      <c r="A18" s="57">
        <v>12</v>
      </c>
      <c r="B18" s="57">
        <v>31</v>
      </c>
      <c r="C18" s="76" t="str">
        <f>+VLOOKUP(B18,'Población contratación'!$A$3:$C$493,2)</f>
        <v>PRESTACIÓN DE SERVICIOS PROFESIONALES PARA EL APOYO DE LAS ACTIVIDADES ACADEMICAS-ADMINISTRATIVAS PROPIAS DE LA COORDINACION ACADÉMICA DE LA TERRITORIAL No. 2</v>
      </c>
      <c r="D18" s="53" t="str">
        <f>+VLOOKUP(B18,'Población contratación'!$A$3:$C$493,3)</f>
        <v>https://community.secop.gov.co/Public/Tendering/OpportunityDetail/Index?noticeUID=CO1.NTC.6694587</v>
      </c>
    </row>
    <row r="19" spans="1:4" ht="42" thickTop="1" thickBot="1">
      <c r="A19" s="57">
        <v>13</v>
      </c>
      <c r="B19" s="57">
        <v>9</v>
      </c>
      <c r="C19" s="76" t="str">
        <f>+VLOOKUP(B19,'Población contratación'!$A$3:$C$493,2)</f>
        <v>PRESTAR SERVICIOS PROFESIONALES DESDE EL COMPONENTE PEDAGÓGICO, PARA EL FORTALECIMIENTO Y EJECUCIÓN DE LOS PROYECTOS, PROGRAMAS Y EVENTOS DE LA DIRECCIÓN DE CAPACITACIÓN DE LA TERRITORIAL ATLANTICO</v>
      </c>
      <c r="D19" s="53" t="str">
        <f>+VLOOKUP(B19,'Población contratación'!$A$3:$C$493,3)</f>
        <v>https://community.secop.gov.co/Public/Tendering/OpportunityDetail/Index?noticeUID=CO1.NTC.5546582</v>
      </c>
    </row>
    <row r="20" spans="1:4" ht="42" thickTop="1" thickBot="1">
      <c r="A20" s="57">
        <v>14</v>
      </c>
      <c r="B20" s="57">
        <v>6</v>
      </c>
      <c r="C20" s="76" t="str">
        <f>+VLOOKUP(B20,'Población contratación'!$A$3:$C$493,2)</f>
        <v>PRESTACION DE SERVICIOS DE ACOMPAÑAMIENTO PROFESIONAL PARA EL DESARROLLO DE LAS ACTIVIDADES ACADEMICO ADMINISTRATIVAS DE LOS PROGRAMAS MISIONALES DE LA ESAP EN LA CIUDAD DE BARRANQUILLA</v>
      </c>
      <c r="D20" s="53" t="str">
        <f>+VLOOKUP(B20,'Población contratación'!$A$3:$C$493,3)</f>
        <v>https://community.secop.gov.co/Public/Tendering/OpportunityDetail/Index?noticeUID=CO1.NTC.6515303</v>
      </c>
    </row>
    <row r="21" spans="1:4" ht="62.4" thickTop="1" thickBot="1">
      <c r="A21" s="57">
        <v>15</v>
      </c>
      <c r="B21" s="57">
        <v>34</v>
      </c>
      <c r="C21" s="76" t="str">
        <f>+VLOOKUP(B21,'Población contratación'!$A$3:$C$493,2)</f>
        <v>PRESTAR SERVICIOS PROFESIONALES PARA EL DESARROLLO DE NOVENTA Y SEIS (96) HORAS DEL PROCESO DE CAPACITACIÓN EN LAS TEMÁTICAS DE PRESUPUESTO PÚBLICO, FINANZAS PÚBLICAS Y LAS NORMAS INTERNACIONALES DE CONTABILIDAD PARA EL SECTOR PÚBLICO DEL NÚCLEO DE ECONOMÍA DE LO PÚBLICO, SEGÚN LA PROGRAMACIÓN DEFINIDA POR LA DIRECCIÓN TERRITORIAL ATLÁNTICO, CESAR, MAGDALENA Y LA GUAJIRA</v>
      </c>
      <c r="D21" s="53" t="str">
        <f>+VLOOKUP(B21,'Población contratación'!$A$3:$C$493,3)</f>
        <v>https://community.secop.gov.co/Public/Tendering/OpportunityDetail/Index?noticeUID=CO1.NTC.5933338</v>
      </c>
    </row>
    <row r="22" spans="1:4" ht="62.4" thickTop="1" thickBot="1">
      <c r="A22" s="57">
        <v>16</v>
      </c>
      <c r="B22" s="57">
        <v>35</v>
      </c>
      <c r="C22" s="76" t="str">
        <f>+VLOOKUP(B22,'Población contratación'!$A$3:$C$493,2)</f>
        <v>PRESTAR SERVICIOS PROFESIONALES PARA EL DESARROLLO DE CUARENTA Y OCHO (48) HORAS DEL PROCESO DE CAPACITACIÓN EN LAS TEMÁTICAS DE POLÍTICAS PÚBLICAS, DERECHO ADMINISTRATIVO, DERECHO CONSTITUCIONAL Y DERECHOS HUMANOS, DE LOS NÚCLEOS DE ESTADO Y PODER Y DE PROBLEMÁTICA PÚBLICA, SEGÚN LA PROGRAMACIÓN DEFINIDA POR LA DIRECCIÓN TERRITORIAL ATLÁNTICO, CESAR, MAGDALENA Y LA GUAJIRA</v>
      </c>
      <c r="D22" s="53" t="str">
        <f>+VLOOKUP(B22,'Población contratación'!$A$3:$C$493,3)</f>
        <v>https://community.secop.gov.co/Public/Tendering/OpportunityDetail/Index?noticeUID=CO1.NTC.6360628</v>
      </c>
    </row>
    <row r="23" spans="1:4" ht="21.6" thickTop="1" thickBot="1">
      <c r="A23" s="57"/>
      <c r="B23" s="57"/>
      <c r="C23" s="76" t="e">
        <f>+VLOOKUP(B23,'Población contratación'!$A$3:$C$493,2)</f>
        <v>#N/A</v>
      </c>
      <c r="D23" s="53" t="e">
        <f>+VLOOKUP(B23,'Población contratación'!$A$3:$C$493,3)</f>
        <v>#N/A</v>
      </c>
    </row>
    <row r="24" spans="1:4" ht="21.6" thickTop="1" thickBot="1">
      <c r="A24" s="57"/>
      <c r="B24" s="57"/>
      <c r="C24" s="76" t="e">
        <f>+VLOOKUP(B24,'Población contratación'!$A$3:$C$493,2)</f>
        <v>#N/A</v>
      </c>
      <c r="D24" s="53" t="e">
        <f>+VLOOKUP(B24,'Población contratación'!$A$3:$C$493,3)</f>
        <v>#N/A</v>
      </c>
    </row>
    <row r="25" spans="1:4" ht="21.6" thickTop="1" thickBot="1">
      <c r="A25" s="57"/>
      <c r="B25" s="57"/>
      <c r="C25" s="76" t="e">
        <f>+VLOOKUP(B25,'Población contratación'!$A$3:$C$493,2)</f>
        <v>#N/A</v>
      </c>
      <c r="D25" s="53" t="e">
        <f>+VLOOKUP(B25,'Población contratación'!$A$3:$C$493,3)</f>
        <v>#N/A</v>
      </c>
    </row>
    <row r="26" spans="1:4" ht="21.6" thickTop="1" thickBot="1">
      <c r="A26" s="57"/>
      <c r="B26" s="57"/>
      <c r="C26" s="76" t="e">
        <f>+VLOOKUP(B26,'Población contratación'!$A$3:$C$493,2)</f>
        <v>#N/A</v>
      </c>
      <c r="D26" s="53" t="e">
        <f>+VLOOKUP(B26,'Población contratación'!$A$3:$C$493,3)</f>
        <v>#N/A</v>
      </c>
    </row>
    <row r="27" spans="1:4" ht="30" customHeight="1" thickTop="1" thickBot="1">
      <c r="A27" s="57"/>
      <c r="B27" s="57"/>
      <c r="C27" s="53" t="e">
        <f>+VLOOKUP(B27,'Población contratación'!$A$3:$C$493,2)</f>
        <v>#N/A</v>
      </c>
      <c r="D27" s="53" t="e">
        <f>+VLOOKUP(B27,'Población contratación'!$A$3:$C$493,3)</f>
        <v>#N/A</v>
      </c>
    </row>
    <row r="28" spans="1:4" ht="30" customHeight="1" thickTop="1" thickBot="1">
      <c r="A28" s="57"/>
      <c r="B28" s="57"/>
      <c r="C28" s="53" t="e">
        <f>+VLOOKUP(B28,'Población contratación'!$A$3:$C$493,2)</f>
        <v>#N/A</v>
      </c>
      <c r="D28" s="53" t="e">
        <f>+VLOOKUP(B28,'Población contratación'!$A$3:$C$493,3)</f>
        <v>#N/A</v>
      </c>
    </row>
    <row r="29" spans="1:4" ht="30" customHeight="1" thickTop="1" thickBot="1">
      <c r="A29" s="57"/>
      <c r="B29" s="57"/>
      <c r="C29" s="53" t="e">
        <f>+VLOOKUP(B29,'Población contratación'!$A$3:$C$493,2)</f>
        <v>#N/A</v>
      </c>
      <c r="D29" s="53" t="e">
        <f>+VLOOKUP(B29,'Población contratación'!$A$3:$C$493,3)</f>
        <v>#N/A</v>
      </c>
    </row>
    <row r="30" spans="1:4" ht="30" customHeight="1" thickTop="1" thickBot="1">
      <c r="A30" s="57"/>
      <c r="B30" s="57"/>
      <c r="C30" s="53" t="e">
        <f>+VLOOKUP(B30,'Población contratación'!$A$3:$C$493,2)</f>
        <v>#N/A</v>
      </c>
      <c r="D30" s="53" t="e">
        <f>+VLOOKUP(B30,'Población contratación'!$A$3:$C$493,3)</f>
        <v>#N/A</v>
      </c>
    </row>
    <row r="31" spans="1:4" ht="30" customHeight="1" thickTop="1" thickBot="1">
      <c r="A31" s="57"/>
      <c r="B31" s="57"/>
      <c r="C31" s="53" t="e">
        <f>+VLOOKUP(B31,'Población contratación'!$A$3:$C$493,2)</f>
        <v>#N/A</v>
      </c>
      <c r="D31" s="53" t="e">
        <f>+VLOOKUP(B31,'Población contratación'!$A$3:$C$493,3)</f>
        <v>#N/A</v>
      </c>
    </row>
    <row r="32" spans="1:4" ht="30" customHeight="1" thickTop="1" thickBot="1">
      <c r="A32" s="57"/>
      <c r="B32" s="57"/>
      <c r="C32" s="53" t="e">
        <f>+VLOOKUP(B32,'Población contratación'!$A$3:$C$493,2)</f>
        <v>#N/A</v>
      </c>
      <c r="D32" s="53" t="e">
        <f>+VLOOKUP(B32,'Población contratación'!$A$3:$C$493,3)</f>
        <v>#N/A</v>
      </c>
    </row>
    <row r="33" spans="1:4" ht="30" customHeight="1" thickTop="1" thickBot="1">
      <c r="A33" s="57"/>
      <c r="B33" s="57"/>
      <c r="C33" s="53" t="e">
        <f>+VLOOKUP(B33,'Población contratación'!$A$3:$C$493,2)</f>
        <v>#N/A</v>
      </c>
      <c r="D33" s="53" t="e">
        <f>+VLOOKUP(B33,'Población contratación'!$A$3:$C$493,3)</f>
        <v>#N/A</v>
      </c>
    </row>
    <row r="34" spans="1:4" ht="30" customHeight="1" thickTop="1" thickBot="1">
      <c r="A34" s="57"/>
      <c r="B34" s="57"/>
      <c r="C34" s="53" t="e">
        <f>+VLOOKUP(B34,'Población contratación'!$A$3:$C$493,2)</f>
        <v>#N/A</v>
      </c>
      <c r="D34" s="53" t="e">
        <f>+VLOOKUP(B34,'Población contratación'!$A$3:$C$493,3)</f>
        <v>#N/A</v>
      </c>
    </row>
    <row r="35" spans="1:4" ht="30" customHeight="1" thickTop="1" thickBot="1">
      <c r="A35" s="57"/>
      <c r="B35" s="57"/>
      <c r="C35" s="53" t="e">
        <f>+VLOOKUP(B35,'Población contratación'!$A$3:$C$493,2)</f>
        <v>#N/A</v>
      </c>
      <c r="D35" s="53" t="e">
        <f>+VLOOKUP(B35,'Población contratación'!$A$3:$C$493,3)</f>
        <v>#N/A</v>
      </c>
    </row>
    <row r="36" spans="1:4" ht="30" customHeight="1" thickTop="1" thickBot="1">
      <c r="A36" s="57"/>
      <c r="B36" s="57"/>
      <c r="C36" s="53" t="e">
        <f>+VLOOKUP(B36,'Población contratación'!$A$3:$C$493,2)</f>
        <v>#N/A</v>
      </c>
      <c r="D36" s="53" t="e">
        <f>+VLOOKUP(B36,'Población contratación'!$A$3:$C$493,3)</f>
        <v>#N/A</v>
      </c>
    </row>
    <row r="37" spans="1:4" ht="30" customHeight="1" thickTop="1" thickBot="1">
      <c r="A37" s="57"/>
      <c r="B37" s="57"/>
      <c r="C37" s="53" t="e">
        <f>+VLOOKUP(B37,'Población contratación'!$A$3:$C$493,2)</f>
        <v>#N/A</v>
      </c>
      <c r="D37" s="53" t="e">
        <f>+VLOOKUP(B37,'Población contratación'!$A$3:$C$493,3)</f>
        <v>#N/A</v>
      </c>
    </row>
    <row r="38" spans="1:4" ht="30" customHeight="1" thickTop="1" thickBot="1">
      <c r="A38" s="57"/>
      <c r="B38" s="57"/>
      <c r="C38" s="53" t="e">
        <f>+VLOOKUP(B38,'Población contratación'!$A$3:$C$493,2)</f>
        <v>#N/A</v>
      </c>
      <c r="D38" s="53" t="e">
        <f>+VLOOKUP(B38,'Población contratación'!$A$3:$C$493,3)</f>
        <v>#N/A</v>
      </c>
    </row>
    <row r="39" spans="1:4" ht="30" customHeight="1" thickTop="1" thickBot="1">
      <c r="A39" s="57"/>
      <c r="B39" s="57"/>
      <c r="C39" s="53" t="e">
        <f>+VLOOKUP(B39,'Población contratación'!$A$3:$C$493,2)</f>
        <v>#N/A</v>
      </c>
      <c r="D39" s="53" t="e">
        <f>+VLOOKUP(B39,'Población contratación'!$A$3:$C$493,3)</f>
        <v>#N/A</v>
      </c>
    </row>
    <row r="40" spans="1:4" ht="30" customHeight="1" thickTop="1" thickBot="1">
      <c r="A40" s="57"/>
      <c r="B40" s="57"/>
      <c r="C40" s="53" t="e">
        <f>+VLOOKUP(B40,'Población contratación'!$A$3:$C$493,2)</f>
        <v>#N/A</v>
      </c>
      <c r="D40" s="53" t="e">
        <f>+VLOOKUP(B40,'Población contratación'!$A$3:$C$493,3)</f>
        <v>#N/A</v>
      </c>
    </row>
    <row r="41" spans="1:4" ht="30" customHeight="1" thickTop="1" thickBot="1">
      <c r="A41" s="57"/>
      <c r="B41" s="57"/>
      <c r="C41" s="53" t="e">
        <f>+VLOOKUP(B41,'Población contratación'!$A$3:$C$493,2)</f>
        <v>#N/A</v>
      </c>
      <c r="D41" s="53" t="e">
        <f>+VLOOKUP(B41,'Población contratación'!$A$3:$C$493,3)</f>
        <v>#N/A</v>
      </c>
    </row>
    <row r="42" spans="1:4" ht="30" customHeight="1" thickTop="1" thickBot="1">
      <c r="A42" s="57"/>
      <c r="B42" s="57"/>
      <c r="C42" s="53" t="e">
        <f>+VLOOKUP(B42,'Población contratación'!$A$3:$C$493,2)</f>
        <v>#N/A</v>
      </c>
      <c r="D42" s="53" t="e">
        <f>+VLOOKUP(B42,'Población contratación'!$A$3:$C$493,3)</f>
        <v>#N/A</v>
      </c>
    </row>
    <row r="43" spans="1:4" ht="30" customHeight="1" thickTop="1" thickBot="1">
      <c r="A43" s="57"/>
      <c r="B43" s="57"/>
      <c r="C43" s="53" t="e">
        <f>+VLOOKUP(B43,'Población contratación'!$A$3:$C$493,2)</f>
        <v>#N/A</v>
      </c>
      <c r="D43" s="53" t="e">
        <f>+VLOOKUP(B43,'Población contratación'!$A$3:$C$493,3)</f>
        <v>#N/A</v>
      </c>
    </row>
    <row r="44" spans="1:4" ht="30" customHeight="1" thickTop="1" thickBot="1">
      <c r="A44" s="57"/>
      <c r="B44" s="57"/>
      <c r="C44" s="53" t="e">
        <f>+VLOOKUP(B44,'Población contratación'!$A$3:$C$493,2)</f>
        <v>#N/A</v>
      </c>
      <c r="D44" s="53" t="e">
        <f>+VLOOKUP(B44,'Población contratación'!$A$3:$C$493,3)</f>
        <v>#N/A</v>
      </c>
    </row>
    <row r="45" spans="1:4" ht="30" customHeight="1" thickTop="1" thickBot="1">
      <c r="A45" s="57"/>
      <c r="B45" s="57"/>
      <c r="C45" s="53" t="e">
        <f>+VLOOKUP(B45,'Población contratación'!$A$3:$C$493,2)</f>
        <v>#N/A</v>
      </c>
      <c r="D45" s="53" t="e">
        <f>+VLOOKUP(B45,'Población contratación'!$A$3:$C$493,3)</f>
        <v>#N/A</v>
      </c>
    </row>
    <row r="46" spans="1:4" ht="30" customHeight="1" thickTop="1" thickBot="1">
      <c r="A46" s="57"/>
      <c r="B46" s="57"/>
      <c r="C46" s="53" t="e">
        <f>+VLOOKUP(B46,'Población contratación'!$A$3:$C$493,2)</f>
        <v>#N/A</v>
      </c>
      <c r="D46" s="53" t="e">
        <f>+VLOOKUP(B46,'Población contratación'!$A$3:$C$493,3)</f>
        <v>#N/A</v>
      </c>
    </row>
    <row r="47" spans="1:4" ht="30" customHeight="1" thickTop="1" thickBot="1">
      <c r="A47" s="57"/>
      <c r="B47" s="57"/>
      <c r="C47" s="53" t="e">
        <f>+VLOOKUP(B47,'Población contratación'!$A$3:$C$493,2)</f>
        <v>#N/A</v>
      </c>
      <c r="D47" s="53" t="e">
        <f>+VLOOKUP(B47,'Población contratación'!$A$3:$C$493,3)</f>
        <v>#N/A</v>
      </c>
    </row>
    <row r="48" spans="1:4" ht="15" thickTop="1"/>
  </sheetData>
  <mergeCells count="3">
    <mergeCell ref="B1:D1"/>
    <mergeCell ref="A2:C2"/>
    <mergeCell ref="A3:D3"/>
  </mergeCells>
  <conditionalFormatting sqref="D7:D47">
    <cfRule type="duplicateValues" dxfId="3" priority="2"/>
    <cfRule type="duplicateValues" dxfId="2" priority="4"/>
  </conditionalFormatting>
  <conditionalFormatting sqref="B7:B47">
    <cfRule type="duplicateValues" dxfId="1" priority="3"/>
  </conditionalFormatting>
  <conditionalFormatting sqref="B7:B47">
    <cfRule type="duplicateValues" dxfId="0" priority="1"/>
  </conditionalFormatting>
  <pageMargins left="0.11811023622047245" right="0.11811023622047245" top="0.15748031496062992" bottom="0.15748031496062992" header="0.11811023622047245" footer="0.19685039370078741"/>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LEATORIO">
                <anchor moveWithCells="1" sizeWithCells="1">
                  <from>
                    <xdr:col>5</xdr:col>
                    <xdr:colOff>175260</xdr:colOff>
                    <xdr:row>5</xdr:row>
                    <xdr:rowOff>373380</xdr:rowOff>
                  </from>
                  <to>
                    <xdr:col>9</xdr:col>
                    <xdr:colOff>502920</xdr:colOff>
                    <xdr:row>9</xdr:row>
                    <xdr:rowOff>30480</xdr:rowOff>
                  </to>
                </anchor>
              </controlPr>
            </control>
          </mc:Choice>
        </mc:AlternateContent>
        <mc:AlternateContent xmlns:mc="http://schemas.openxmlformats.org/markup-compatibility/2006">
          <mc:Choice Requires="x14">
            <control shapeId="8194" r:id="rId5" name="Button 2">
              <controlPr defaultSize="0" print="0" autoFill="0" autoPict="0" macro="[0]!Exportar">
                <anchor moveWithCells="1" sizeWithCells="1">
                  <from>
                    <xdr:col>5</xdr:col>
                    <xdr:colOff>274320</xdr:colOff>
                    <xdr:row>10</xdr:row>
                    <xdr:rowOff>144780</xdr:rowOff>
                  </from>
                  <to>
                    <xdr:col>9</xdr:col>
                    <xdr:colOff>464820</xdr:colOff>
                    <xdr:row>12</xdr:row>
                    <xdr:rowOff>365760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vt:i4>
      </vt:variant>
    </vt:vector>
  </HeadingPairs>
  <TitlesOfParts>
    <vt:vector size="10" baseType="lpstr">
      <vt:lpstr>Cálculo muestra</vt:lpstr>
      <vt:lpstr>Población inventario</vt:lpstr>
      <vt:lpstr>Intervalo inventario </vt:lpstr>
      <vt:lpstr>Población contratación</vt:lpstr>
      <vt:lpstr>Intervalo contratación</vt:lpstr>
      <vt:lpstr>Intervalo contratación (2)</vt:lpstr>
      <vt:lpstr>'Intervalo contratación'!Área_de_impresión</vt:lpstr>
      <vt:lpstr>'Intervalo contratación (2)'!Área_de_impresión</vt:lpstr>
      <vt:lpstr>'Intervalo inventario '!Área_de_impresión</vt:lpstr>
      <vt:lpstr>'Cálculo muestra'!OLE_LINK2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PLAN-MIPG</dc:creator>
  <cp:lastModifiedBy>Melqui Alexander Romero Veru</cp:lastModifiedBy>
  <cp:lastPrinted>2025-06-04T00:19:50Z</cp:lastPrinted>
  <dcterms:created xsi:type="dcterms:W3CDTF">2023-07-12T22:14:14Z</dcterms:created>
  <dcterms:modified xsi:type="dcterms:W3CDTF">2025-06-04T01:44:03Z</dcterms:modified>
</cp:coreProperties>
</file>